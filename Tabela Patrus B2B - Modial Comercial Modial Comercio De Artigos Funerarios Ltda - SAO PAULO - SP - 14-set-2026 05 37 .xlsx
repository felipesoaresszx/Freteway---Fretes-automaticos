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DIAL\Downloads\"/>
    </mc:Choice>
  </mc:AlternateContent>
  <xr:revisionPtr revIDLastSave="0" documentId="13_ncr:1_{7EDF0A44-546F-4D9C-B25C-791DE279342F}" xr6:coauthVersionLast="47" xr6:coauthVersionMax="47" xr10:uidLastSave="{00000000-0000-0000-0000-000000000000}"/>
  <bookViews>
    <workbookView xWindow="-120" yWindow="-120" windowWidth="19440" windowHeight="15600" firstSheet="3" activeTab="7" xr2:uid="{C6C78812-2C31-4363-AFAA-9A577F28F557}"/>
  </bookViews>
  <sheets>
    <sheet name="Tabela Fracionada" sheetId="1" r:id="rId1"/>
    <sheet name="Generalidades" sheetId="2" r:id="rId2"/>
    <sheet name="Não Agrupamento" sheetId="4" r:id="rId3"/>
    <sheet name="EMEX e TRT" sheetId="5" r:id="rId4"/>
    <sheet name="Capitais" sheetId="6" r:id="rId5"/>
    <sheet name="3ª Faixa BA, MG , SP e Atend PE" sheetId="8" r:id="rId6"/>
    <sheet name="TDA" sheetId="9" r:id="rId7"/>
    <sheet name="TAG" sheetId="10" r:id="rId8"/>
  </sheets>
  <externalReferences>
    <externalReference r:id="rId9"/>
    <externalReference r:id="rId10"/>
  </externalReferences>
  <definedNames>
    <definedName name="_xlnm._FilterDatabase" localSheetId="5" hidden="1">'3ª Faixa BA, MG , SP e Atend PE'!$Q$6:$T$6</definedName>
    <definedName name="_xlnm._FilterDatabase" localSheetId="4" hidden="1">Capitais!$A$6:$H$6</definedName>
    <definedName name="_xlnm._FilterDatabase" localSheetId="3" hidden="1">'EMEX e TRT'!$A$6:$M$6</definedName>
    <definedName name="_xlnm._FilterDatabase" localSheetId="1" hidden="1">Generalidades!$A$1:$AM$108</definedName>
    <definedName name="_xlnm._FilterDatabase" localSheetId="2" hidden="1">'Não Agrupamento'!$B$6:$D$134</definedName>
    <definedName name="_xlnm._FilterDatabase" localSheetId="6" hidden="1">TDA!$A$6:$H$6</definedName>
    <definedName name="_xlnm.Print_Area" localSheetId="4">Capitais!$A$1:$H$217</definedName>
    <definedName name="_xlnm.Print_Area" localSheetId="3">'EMEX e TRT'!$A$1:$M$222</definedName>
    <definedName name="_xlnm.Print_Area" localSheetId="1">Generalidades!$A$2:$AJ$82</definedName>
    <definedName name="_xlnm.Print_Area" localSheetId="2">'Não Agrupamento'!$B$1:$D$134</definedName>
    <definedName name="_xlnm.Print_Area" localSheetId="0">'Tabela Fracionada'!$B$1:$AK$91</definedName>
    <definedName name="_xlnm.Print_Area" localSheetId="7">TAG!$B$2:$E$846</definedName>
    <definedName name="_xlnm.Print_Area" localSheetId="6">TDA!$A$1:$G$1084</definedName>
    <definedName name="Cargos" localSheetId="4">#REF!</definedName>
    <definedName name="Cargos" localSheetId="3">#REF!</definedName>
    <definedName name="Cargos" localSheetId="6">#REF!</definedName>
    <definedName name="Cargos">#REF!</definedName>
    <definedName name="Correspond.">INDEX('[1]Analise Cadastro'!$D$105:$D$107,MATCH('[1]Analise Cadastro'!$A$33,'[1]Analise Cadastro'!$C$105:$C$107,0))</definedName>
    <definedName name="CTe">INDEX('[1]Analise Cadastro'!$D$105:$D$107,MATCH('[1]Analise Cadastro'!$E$59,'[1]Analise Cadastro'!$C$105:$C$107,0))</definedName>
    <definedName name="EDI">INDEX('[1]Analise Cadastro'!$D$105:$D$109,MATCH('[1]Analise Cadastro'!$E$86,'[1]Analise Cadastro'!$C$105:$C$109,0))</definedName>
    <definedName name="Fatura">INDEX('[1]Analise Cadastro'!$D$105:$D$107,MATCH('[1]Analise Cadastro'!$E$47,'[1]Analise Cadastro'!$C$105:$C$107,0))</definedName>
    <definedName name="XML">INDEX('[1]Analise Cadastro'!$D$105:$D$107,MATCH('[1]Analise Cadastro'!$E$71,'[1]Analise Cadastro'!$C$105:$C$107,0))</definedName>
    <definedName name="Z_D40BB215_04E5_4E56_903C_8E877D37F680_.wvu.Rows" localSheetId="1" hidden="1">Generalidades!#REF!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9" l="1"/>
  <c r="T4" i="8"/>
  <c r="O4" i="8"/>
  <c r="J4" i="8"/>
  <c r="E4" i="8"/>
  <c r="F4" i="6"/>
  <c r="L4" i="5"/>
  <c r="F4" i="5"/>
</calcChain>
</file>

<file path=xl/sharedStrings.xml><?xml version="1.0" encoding="utf-8"?>
<sst xmlns="http://schemas.openxmlformats.org/spreadsheetml/2006/main" count="9923" uniqueCount="5362">
  <si>
    <t>V 2.7.7</t>
  </si>
  <si>
    <t>Todas as Faixas de Pesos Estão Expressas em Kg</t>
  </si>
  <si>
    <t xml:space="preserve">              Destino</t>
  </si>
  <si>
    <t>Taxa de Seguro Obrigatório</t>
  </si>
  <si>
    <t>Frete Valor</t>
  </si>
  <si>
    <t>Prazo de Entrega - Padrão Patrus</t>
  </si>
  <si>
    <t>Região Nordeste</t>
  </si>
  <si>
    <t>BA - Capital</t>
  </si>
  <si>
    <t>BA - Interior</t>
  </si>
  <si>
    <t>BA - Barreiras (Oeste)</t>
  </si>
  <si>
    <t>CE - Capital</t>
  </si>
  <si>
    <t>Entregas no Estado do Ceará sob consulta</t>
  </si>
  <si>
    <t>CE - Interior</t>
  </si>
  <si>
    <t>PE - Petrolina e Região</t>
  </si>
  <si>
    <t>SE - Capital</t>
  </si>
  <si>
    <t>SE - Interior</t>
  </si>
  <si>
    <t>Região Sudeste</t>
  </si>
  <si>
    <t>ES - Capital</t>
  </si>
  <si>
    <t>ES - Interior</t>
  </si>
  <si>
    <t>MG - Capital</t>
  </si>
  <si>
    <t>MG - Interior</t>
  </si>
  <si>
    <t>MG - V. do Jequitinhonha</t>
  </si>
  <si>
    <t>RJ - Capital</t>
  </si>
  <si>
    <t>RJ - Interior</t>
  </si>
  <si>
    <t>SP - Capital / Grande Capital</t>
  </si>
  <si>
    <t>Entregas na Capital e Grande Capital sob consulta</t>
  </si>
  <si>
    <t>SP - Interior</t>
  </si>
  <si>
    <t>SP - Litoral / V do Ribeira</t>
  </si>
  <si>
    <t>Região Sul</t>
  </si>
  <si>
    <t>PR - Capital</t>
  </si>
  <si>
    <t>PR - Interior</t>
  </si>
  <si>
    <t>SC - Capital</t>
  </si>
  <si>
    <t>SC - Interior</t>
  </si>
  <si>
    <t>RS - Capital</t>
  </si>
  <si>
    <t>RS - Interior</t>
  </si>
  <si>
    <r>
      <rPr>
        <b/>
        <sz val="10"/>
        <rFont val="Arial"/>
        <family val="2"/>
      </rPr>
      <t>Importante: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Verificar na relação cidades atendidas no estado de Pernambuco (Unidade Petrolina)</t>
    </r>
  </si>
  <si>
    <t>CONDIÇÕES COMERCIAIS</t>
  </si>
  <si>
    <t xml:space="preserve">Período de Faturamento ...................................: Semanal      </t>
  </si>
  <si>
    <t>Prazo de Pagamento .........................................: 15 DD</t>
  </si>
  <si>
    <t>Impostos ICMS e/ou ISS.....................................: Oficiais, não inclusos.</t>
  </si>
  <si>
    <t>Devolução Automática  Pós Período de Carência: 100% do frete original.</t>
  </si>
  <si>
    <t>WEB Fatura .......................................................: Sim</t>
  </si>
  <si>
    <t>Tipo de Cobrança ..............................................: Bancária</t>
  </si>
  <si>
    <t>Carga Paletizada (Kg cobrado por palete)..........: 1.000</t>
  </si>
  <si>
    <t>Comentários:</t>
  </si>
  <si>
    <t>Patrus Transportes Ltda</t>
  </si>
  <si>
    <t>Outros</t>
  </si>
  <si>
    <t>Suspensa</t>
  </si>
  <si>
    <t>Custon Tabela'!</t>
  </si>
  <si>
    <t>G E N E R A L I D A D E S</t>
  </si>
  <si>
    <t>TAXAS</t>
  </si>
  <si>
    <t>DESTINOS</t>
  </si>
  <si>
    <t>Valor (R$ ou %)</t>
  </si>
  <si>
    <t>Valor Mínimo (R$)</t>
  </si>
  <si>
    <t xml:space="preserve">Taxa por CT-e </t>
  </si>
  <si>
    <t>RJ e SP (Capital e Grande Capital)</t>
  </si>
  <si>
    <t>-</t>
  </si>
  <si>
    <t>Demais cidades</t>
  </si>
  <si>
    <r>
      <rPr>
        <b/>
        <sz val="8"/>
        <rFont val="Calibri"/>
        <family val="2"/>
        <scheme val="minor"/>
      </rPr>
      <t xml:space="preserve">TRT - Taxa de Restrição de Transito </t>
    </r>
    <r>
      <rPr>
        <sz val="8"/>
        <rFont val="Calibri"/>
        <family val="2"/>
        <scheme val="minor"/>
      </rPr>
      <t xml:space="preserve"> ( Sobre o Frete Original )
Novas localidades serão incluídas para cobrança conforme atualização da NTC - Associação Nacional do Transporte de Cargas e Logística. </t>
    </r>
  </si>
  <si>
    <r>
      <t>TDE  - Taxa de Dificuldade de Entrega - Grau Médio de exigências e procedimentos na entrega</t>
    </r>
    <r>
      <rPr>
        <sz val="8"/>
        <rFont val="Calibri"/>
        <family val="2"/>
        <scheme val="minor"/>
      </rPr>
      <t xml:space="preserve"> ( Sobre o Frete Original ) ;</t>
    </r>
  </si>
  <si>
    <r>
      <t xml:space="preserve">TDE 2 - Taxa de Dificuldade de Entrega - Grau Elevado de exigências e procedimentos na entrega </t>
    </r>
    <r>
      <rPr>
        <sz val="8"/>
        <rFont val="Calibri"/>
        <family val="2"/>
        <scheme val="minor"/>
      </rPr>
      <t xml:space="preserve">( Sobre o Frete Original ) </t>
    </r>
  </si>
  <si>
    <r>
      <t xml:space="preserve">TDE 3 - Taxa de Dificuldade de Entrega - Grau Critico de exigências e procedimentos na entrega </t>
    </r>
    <r>
      <rPr>
        <sz val="8"/>
        <rFont val="Calibri"/>
        <family val="2"/>
        <scheme val="minor"/>
      </rPr>
      <t>( Sobre o Frete Original )</t>
    </r>
  </si>
  <si>
    <r>
      <t>TAS - Taxa de Administração Sefaz</t>
    </r>
    <r>
      <rPr>
        <sz val="8"/>
        <rFont val="Calibri"/>
        <family val="2"/>
        <scheme val="minor"/>
      </rPr>
      <t xml:space="preserve"> ( Valor cobrado por CT-e ) </t>
    </r>
  </si>
  <si>
    <r>
      <t>PEDÁGIO</t>
    </r>
    <r>
      <rPr>
        <sz val="8"/>
        <rFont val="Calibri"/>
        <family val="2"/>
        <scheme val="minor"/>
      </rPr>
      <t xml:space="preserve"> - Conf. o Parágrafo 4º Art. 2º da Lei 10.209, de 23/03/2001 (Cada 100kg ou Fração)</t>
    </r>
  </si>
  <si>
    <r>
      <t>GRIS</t>
    </r>
    <r>
      <rPr>
        <sz val="8"/>
        <rFont val="Calibri"/>
        <family val="2"/>
        <scheme val="minor"/>
      </rPr>
      <t xml:space="preserve"> </t>
    </r>
    <r>
      <rPr>
        <b/>
        <sz val="8"/>
        <rFont val="Calibri"/>
        <family val="2"/>
        <scheme val="minor"/>
      </rPr>
      <t>- Gerenciamento de Risco e Segurança</t>
    </r>
    <r>
      <rPr>
        <sz val="8"/>
        <rFont val="Calibri"/>
        <family val="2"/>
        <scheme val="minor"/>
      </rPr>
      <t xml:space="preserve"> - (Sobre o valor da NF-e)</t>
    </r>
  </si>
  <si>
    <r>
      <t>FVM - Frete Valor Mínimo</t>
    </r>
    <r>
      <rPr>
        <sz val="8"/>
        <rFont val="Calibri"/>
        <family val="2"/>
        <scheme val="minor"/>
      </rPr>
      <t>( Quando o Valor do Percentual sobre Danfe for Menor )</t>
    </r>
  </si>
  <si>
    <r>
      <t>TSO</t>
    </r>
    <r>
      <rPr>
        <sz val="8"/>
        <rFont val="Calibri"/>
        <family val="2"/>
        <scheme val="minor"/>
      </rPr>
      <t xml:space="preserve"> </t>
    </r>
    <r>
      <rPr>
        <b/>
        <sz val="8"/>
        <rFont val="Calibri"/>
        <family val="2"/>
        <scheme val="minor"/>
      </rPr>
      <t xml:space="preserve">- Taxa de Seguro Obrigatório </t>
    </r>
    <r>
      <rPr>
        <sz val="8"/>
        <rFont val="Calibri"/>
        <family val="2"/>
        <scheme val="minor"/>
      </rPr>
      <t>(Sobre o valor da NF-e)</t>
    </r>
  </si>
  <si>
    <r>
      <t>EMEX - Emergência Excepcional</t>
    </r>
    <r>
      <rPr>
        <sz val="8"/>
        <rFont val="Calibri"/>
        <family val="2"/>
        <scheme val="minor"/>
      </rPr>
      <t xml:space="preserve"> - Cobrança na </t>
    </r>
    <r>
      <rPr>
        <b/>
        <sz val="8"/>
        <rFont val="Calibri"/>
        <family val="2"/>
        <scheme val="minor"/>
      </rPr>
      <t>Coleta</t>
    </r>
    <r>
      <rPr>
        <sz val="8"/>
        <rFont val="Calibri"/>
        <family val="2"/>
        <scheme val="minor"/>
      </rPr>
      <t xml:space="preserve"> e </t>
    </r>
    <r>
      <rPr>
        <b/>
        <sz val="8"/>
        <rFont val="Calibri"/>
        <family val="2"/>
        <scheme val="minor"/>
      </rPr>
      <t>Entrega</t>
    </r>
    <r>
      <rPr>
        <sz val="8"/>
        <rFont val="Calibri"/>
        <family val="2"/>
        <scheme val="minor"/>
      </rPr>
      <t xml:space="preserve"> (Sobre o valor da NF-e) para determinadas cidades do RJ</t>
    </r>
    <r>
      <rPr>
        <b/>
        <sz val="8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(Vide relação)</t>
    </r>
  </si>
  <si>
    <r>
      <t>EMEX - Emergência Excepcional</t>
    </r>
    <r>
      <rPr>
        <sz val="8"/>
        <rFont val="Calibri"/>
        <family val="2"/>
        <scheme val="minor"/>
      </rPr>
      <t xml:space="preserve"> - Cobrança na </t>
    </r>
    <r>
      <rPr>
        <b/>
        <sz val="8"/>
        <rFont val="Calibri"/>
        <family val="2"/>
        <scheme val="minor"/>
      </rPr>
      <t>Coleta</t>
    </r>
    <r>
      <rPr>
        <sz val="8"/>
        <rFont val="Calibri"/>
        <family val="2"/>
        <scheme val="minor"/>
      </rPr>
      <t xml:space="preserve"> e </t>
    </r>
    <r>
      <rPr>
        <b/>
        <sz val="8"/>
        <rFont val="Calibri"/>
        <family val="2"/>
        <scheme val="minor"/>
      </rPr>
      <t>Entrega</t>
    </r>
    <r>
      <rPr>
        <sz val="8"/>
        <rFont val="Calibri"/>
        <family val="2"/>
        <scheme val="minor"/>
      </rPr>
      <t xml:space="preserve"> (Sobre o valor da NF-e) para determinadas cidades do BA e CE (Vide relação)</t>
    </r>
  </si>
  <si>
    <t>TAG - Taxa de Agendamento -  Obrigatoriedade de entrega com agendamento realizado pela Patrus Transportes</t>
  </si>
  <si>
    <r>
      <t>TDA - Taxa de Dificuldade de Acesso</t>
    </r>
    <r>
      <rPr>
        <sz val="8"/>
        <rFont val="Calibri"/>
        <family val="2"/>
        <scheme val="minor"/>
      </rPr>
      <t xml:space="preserve"> - ( Sobre o Frete Original )</t>
    </r>
  </si>
  <si>
    <t>GENERALIDADES ADICIONAIS</t>
  </si>
  <si>
    <r>
      <rPr>
        <b/>
        <sz val="8"/>
        <rFont val="Calibri"/>
        <family val="2"/>
        <scheme val="minor"/>
      </rPr>
      <t>CAP - Custo Adicional de Paletização</t>
    </r>
    <r>
      <rPr>
        <sz val="8"/>
        <rFont val="Calibri"/>
        <family val="2"/>
        <scheme val="minor"/>
      </rPr>
      <t xml:space="preserve"> ( Por Palete Padrão PBR - 1,10 x 1,20 m ) </t>
    </r>
  </si>
  <si>
    <t>Serviço de separação e reorganização conforme exigência do Remetente e/ou Destinatário - Não inclui o fornecimento do Palete pelo Prestador de Serviço, com devolução imediata ou posterior.</t>
  </si>
  <si>
    <r>
      <rPr>
        <b/>
        <sz val="8"/>
        <rFont val="Calibri"/>
        <family val="2"/>
        <scheme val="minor"/>
      </rPr>
      <t>TPC - Taxa de Permanência da Carga ou Armazenagem</t>
    </r>
    <r>
      <rPr>
        <sz val="8"/>
        <rFont val="Calibri"/>
        <family val="2"/>
        <scheme val="minor"/>
      </rPr>
      <t xml:space="preserve"> ( Sobre o Frete Original )</t>
    </r>
  </si>
  <si>
    <t>Ocorrências marcadas como Recusa ou Aguardando Agendamento, cuja responsabilidade não seja do Transportador, terão cobrança automática gerada após 7 dias corridos da data de registro e envio.  A taxa será aplicada por dia, considerando todo o período entre a abertura e a finalização da ocorrência.</t>
  </si>
  <si>
    <t>&gt;&gt;Até o 7º dia: não há cobrança.
&gt;&gt;A partir do 8º dia: será cobrado o total de dias em que a ocorrência permaneceu aberta.</t>
  </si>
  <si>
    <r>
      <rPr>
        <b/>
        <i/>
        <sz val="8"/>
        <rFont val="Calibri"/>
        <family val="2"/>
        <scheme val="minor"/>
      </rPr>
      <t>TFD - Taxa de Fiel Depositário</t>
    </r>
    <r>
      <rPr>
        <i/>
        <sz val="8"/>
        <rFont val="Calibri"/>
        <family val="2"/>
        <scheme val="minor"/>
      </rPr>
      <t xml:space="preserve"> ( Sobre o Valor da NF-e ) Quando ocorrer retenção da mercadoria, pela SEFAZ do estado de origem ou destino da carga, será emitida Cobrança Automática, após o Registro e Envio da Ocorrência de Apreensão Fiscal ( Fiel Depositário ). Esta cobrança, somente irá ocorrer após a carência de 07 dias.</t>
    </r>
  </si>
  <si>
    <r>
      <rPr>
        <b/>
        <sz val="8"/>
        <rFont val="Calibri"/>
        <family val="2"/>
        <scheme val="minor"/>
      </rPr>
      <t>TPD - Taxa de Pagamento de Descarga</t>
    </r>
    <r>
      <rPr>
        <sz val="8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>Serviço de descarga dos volumes no ato da entrega. Destinatários que utilizam empresas próprias ou terceirizadas impedindo entrada da equipe da Transportadora, obrigando-nos a pagar pelo serviço de capatazia. Cobrança através de recibo fornecido pelo destinatário e/ou empresa terceirizada pelo próprio.</t>
    </r>
  </si>
  <si>
    <t>O valor será calculado com base na tabela do destinatário ou da empresa terceirizada, incluindo 20% sobre o valor do serviço, além de impostos aplicáveis.</t>
  </si>
  <si>
    <r>
      <rPr>
        <b/>
        <sz val="8"/>
        <rFont val="Calibri"/>
        <family val="2"/>
        <scheme val="minor"/>
      </rPr>
      <t>TAD - Taxa de Autenticação de Documentos</t>
    </r>
    <r>
      <rPr>
        <sz val="8"/>
        <rFont val="Calibri"/>
        <family val="2"/>
        <scheme val="minor"/>
      </rPr>
      <t xml:space="preserve"> ( Por Documento )</t>
    </r>
  </si>
  <si>
    <r>
      <t xml:space="preserve">GAC - Gatilho para Acompanhamento de Combustível  - </t>
    </r>
    <r>
      <rPr>
        <sz val="8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>Por ser o combustível um dos principais insumos da atividade de transporte, representando em média 35% dos custos envolvidos, sempre que ocorrer oscilação no preço do óleo diesel, no mercado nacional, superior ou igual a 10 % (DEZ por cento). A data base para início da apuração será 01 de Março de 2022. O frete será atualizado na mesma proporção.                                                                      Exemplo: acumulada uma variação de 10% deve ser aplicado o reajuste do frete de 3,5%.</t>
    </r>
  </si>
  <si>
    <t>Percentual sobre os valores fixos (R$) liquidos finais.</t>
  </si>
  <si>
    <t>35% sobre a variação do preço do diesel quando ela atingir 10% ou mais.</t>
  </si>
  <si>
    <t>CONDIÇÕES COMERCIAIS II</t>
  </si>
  <si>
    <t>Solução de Pendências..............................:</t>
  </si>
  <si>
    <t>07 dias corridos a contar do envio do e-mail ou arquivo EDI</t>
  </si>
  <si>
    <t>Reajuste de Valor do Frete........................:</t>
  </si>
  <si>
    <t>Data base ou motivo de força maior ( Aumento Diesel ).</t>
  </si>
  <si>
    <t>Reajuste de Pedágio ................................:</t>
  </si>
  <si>
    <t>Automático</t>
  </si>
  <si>
    <t>Coletas: Sábados / Domingos / Feriados..:</t>
  </si>
  <si>
    <t>Truck......:</t>
  </si>
  <si>
    <t>Carreta.........:</t>
  </si>
  <si>
    <t>Pernoite ...................................................:</t>
  </si>
  <si>
    <t>Diária .......................................................:</t>
  </si>
  <si>
    <t>Carro Dedicado .............................................:</t>
  </si>
  <si>
    <t>INFORMAÇÕES GERAIS</t>
  </si>
  <si>
    <t xml:space="preserve">Acesse o link abaixo para obter o detalhamento das generalidades Patrus(Listas: TDE's*, TDA, EMEX, TRT, Cidades 3ª faixa e TAG):                                                                                             A lista dos TDE's poderão sofrer alterações quinzenalmente.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</si>
  <si>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Generalidades Padrão</t>
  </si>
  <si>
    <t>Representante Legal</t>
  </si>
  <si>
    <t>Assistente Comercial</t>
  </si>
  <si>
    <t>Coordenador(a) Comercial</t>
  </si>
  <si>
    <t>Executivo(a) de Contas</t>
  </si>
  <si>
    <t>Gerente Comercial</t>
  </si>
  <si>
    <t>Gerente de Unidade</t>
  </si>
  <si>
    <t>Gerente Regional</t>
  </si>
  <si>
    <t>Vendedor(a) Interno(a)</t>
  </si>
  <si>
    <t xml:space="preserve">          N Ã O   A G R U P A M E N T O </t>
  </si>
  <si>
    <t>NÃO AGRUPAMENTO - DIFÍCIL ENTREGA E/OU AGENDAMENTO</t>
  </si>
  <si>
    <t>SEQ.</t>
  </si>
  <si>
    <t>RAIZ CNPJ</t>
  </si>
  <si>
    <t>RAZÃO SOCIAL</t>
  </si>
  <si>
    <t>36.300.374/</t>
  </si>
  <si>
    <t>ABREVO DO BRASIL DISTRIBUIDORA LTDA</t>
  </si>
  <si>
    <t>04.149.637/</t>
  </si>
  <si>
    <t>ADIÇÃO DISTRIBUIÇÃO EXPRESS</t>
  </si>
  <si>
    <t>00.506.346/</t>
  </si>
  <si>
    <t xml:space="preserve">ALIANÇA ATACADISTA </t>
  </si>
  <si>
    <t>15.436.940/</t>
  </si>
  <si>
    <t>AMAZON SERVICOS DE VAREJO DO BRASIL LTDA</t>
  </si>
  <si>
    <t>46.239.901/</t>
  </si>
  <si>
    <t>ANDORINHA COM DISTRIBUICAO LTDA</t>
  </si>
  <si>
    <t>03.244.699/</t>
  </si>
  <si>
    <t>ARAUJO HIPERMERCADOS S.A</t>
  </si>
  <si>
    <t>25.769.266/</t>
  </si>
  <si>
    <t>ARCOM SA</t>
  </si>
  <si>
    <t>03.927.907/</t>
  </si>
  <si>
    <t>ATACADAO CENTRO SUL LTDA</t>
  </si>
  <si>
    <t>75.315.333/</t>
  </si>
  <si>
    <t>ATACADAO DIST COM E IND LTDA</t>
  </si>
  <si>
    <t>28.410.074/</t>
  </si>
  <si>
    <t>ATACADO SAO PAULO LTDA</t>
  </si>
  <si>
    <t>12.377.080/</t>
  </si>
  <si>
    <t>ATACADO UNIAO LTDA</t>
  </si>
  <si>
    <t>73.849.952/</t>
  </si>
  <si>
    <t>ATAKAREJO DIST DE ALIM E BEBIDAS LT</t>
  </si>
  <si>
    <t>11.509.676/</t>
  </si>
  <si>
    <t>AUTO NORTE DISTRIBUIDORA PECAS LTDA</t>
  </si>
  <si>
    <t>00.776.574/</t>
  </si>
  <si>
    <t>B2W COMPANHIA DIGITAL</t>
  </si>
  <si>
    <t>97.422.620/</t>
  </si>
  <si>
    <t>BOMPRECO BAHIA SUPERMERCADOS LTDA</t>
  </si>
  <si>
    <t>05.879.152/</t>
  </si>
  <si>
    <t>BOTTINO MATERIAIS DE CONSTRUCAO LTD</t>
  </si>
  <si>
    <t>45.242.914/</t>
  </si>
  <si>
    <t>C &amp; A MODAS LTDA</t>
  </si>
  <si>
    <t>63.004.030/</t>
  </si>
  <si>
    <t>C &amp; C CASA E CONSTRUCAO LTDA</t>
  </si>
  <si>
    <t>27.177.096/</t>
  </si>
  <si>
    <t>CALCADOS ITAPUA SA</t>
  </si>
  <si>
    <t>62.395.546/</t>
  </si>
  <si>
    <t>CAR CENTRAL DE AUTOPECAS E ROLAM LT</t>
  </si>
  <si>
    <t>02.039.540/</t>
  </si>
  <si>
    <t>CARDAO COMERCIO E IMPORTACAO LTDA</t>
  </si>
  <si>
    <t>05.409.686/</t>
  </si>
  <si>
    <t>CARNEIRO CASA E CONSTRUÇÃO</t>
  </si>
  <si>
    <t>45.543.915/</t>
  </si>
  <si>
    <t>CARREFOUR COM E IND LTDA</t>
  </si>
  <si>
    <t>11.114.284/</t>
  </si>
  <si>
    <t>CASA &amp; VIDEO RIO DE JANEIRO S A</t>
  </si>
  <si>
    <t>25.113.317/</t>
  </si>
  <si>
    <t>CASA ALADIM LTDA</t>
  </si>
  <si>
    <t>03.244.478/</t>
  </si>
  <si>
    <t>CASA DO EPI LTDA</t>
  </si>
  <si>
    <t>17.250.275/</t>
  </si>
  <si>
    <t xml:space="preserve">CASA FERREIRA GONÇALVES </t>
  </si>
  <si>
    <t>03.083.231/</t>
  </si>
  <si>
    <t>CEMA CENTRAL MINEIRA ATACADISTA LTD</t>
  </si>
  <si>
    <t>39.346.861/</t>
  </si>
  <si>
    <t>CENCONSUD BRASIL COMERCIAL LTDA</t>
  </si>
  <si>
    <t>14.073.092/</t>
  </si>
  <si>
    <t xml:space="preserve">CERQUEIRA GONCALVES CIA </t>
  </si>
  <si>
    <t>47.508.411/</t>
  </si>
  <si>
    <t>CIA BRASILEIRA DE DIST</t>
  </si>
  <si>
    <t>20.146.320/</t>
  </si>
  <si>
    <t>CIMCAL LTDA</t>
  </si>
  <si>
    <t>61.923.397/</t>
  </si>
  <si>
    <t>CIMCAL MAT CONSTR OSVALDO CRUZ LTDA</t>
  </si>
  <si>
    <t>68.647.312/</t>
  </si>
  <si>
    <t>COMDIP COML DIST DE PCS LTDA</t>
  </si>
  <si>
    <t>67.729.178/</t>
  </si>
  <si>
    <t>COML. CIRURGICA RIOCLARENSE</t>
  </si>
  <si>
    <t>20.719.510/</t>
  </si>
  <si>
    <t>COMPANHIA BRASILEIRA DE ABASTECIMET</t>
  </si>
  <si>
    <t>57.508.426/</t>
  </si>
  <si>
    <t>COOP - COOPERATIVA DE CONSUMO</t>
  </si>
  <si>
    <t>25.682.303/</t>
  </si>
  <si>
    <t>CRISTIANO CASA E CONSTRUCAO LTDA</t>
  </si>
  <si>
    <t>33.042.730/</t>
  </si>
  <si>
    <t>CSN COMPANHIA SIDERUGICA NACIONAL</t>
  </si>
  <si>
    <t>61.940.292/</t>
  </si>
  <si>
    <t>DIST MEDIC STA CRUZ LTDA</t>
  </si>
  <si>
    <t>17.631.011/</t>
  </si>
  <si>
    <t>DISTRIBUIDORA CALCADOS AMIGAO LTDA</t>
  </si>
  <si>
    <t>01.321.974/</t>
  </si>
  <si>
    <t>DISTRIBUIDORA GAMA</t>
  </si>
  <si>
    <t>27.179.753/</t>
  </si>
  <si>
    <t>DLD COMERCIO VAREJISTA LTDA</t>
  </si>
  <si>
    <t>01.928.075/</t>
  </si>
  <si>
    <t>DMA DISTRIB SA</t>
  </si>
  <si>
    <t>66.471.517/</t>
  </si>
  <si>
    <t>DPC DISTRIBUIDOR ATACADISTA SA</t>
  </si>
  <si>
    <t>17.588.146/</t>
  </si>
  <si>
    <t>DROGAMAXI DROGARIA LTDA</t>
  </si>
  <si>
    <t>17.256.512/</t>
  </si>
  <si>
    <t>DROGARIA ARAUJO S A</t>
  </si>
  <si>
    <t>33.438.250/</t>
  </si>
  <si>
    <t>DROGRARIA PACHECO S A</t>
  </si>
  <si>
    <t>12.680.513/</t>
  </si>
  <si>
    <t xml:space="preserve">DS LOG COM DE CALCADOS LTDA        </t>
  </si>
  <si>
    <t>26.404.731/</t>
  </si>
  <si>
    <t>ELETROZEMA LTDA</t>
  </si>
  <si>
    <t>17.170.416/</t>
  </si>
  <si>
    <t>ELMO CALCADOS SA</t>
  </si>
  <si>
    <t>19.166.917/</t>
  </si>
  <si>
    <t>EMBRASIL EMPRESA BRASILEIRA DISTR L</t>
  </si>
  <si>
    <t>43.708.379/</t>
  </si>
  <si>
    <t>FAST SHOP COMERCIAL LTDA</t>
  </si>
  <si>
    <t>76.639.285/</t>
  </si>
  <si>
    <t>FERRAGENS NEGRÃO LTDA</t>
  </si>
  <si>
    <t>30.290.688/</t>
  </si>
  <si>
    <t>FERRAGENS RAMADA LTDA</t>
  </si>
  <si>
    <t>92.664.028/</t>
  </si>
  <si>
    <t>FERRAMENTAS GERAIS COM E IMP SA</t>
  </si>
  <si>
    <t>10.230.480/</t>
  </si>
  <si>
    <t>FERREIRA COSTA E CIA LTDA</t>
  </si>
  <si>
    <t>29.911.559/</t>
  </si>
  <si>
    <t xml:space="preserve">FORNECEDORA CHUATUBA DE NILÓPOLIS LTDA </t>
  </si>
  <si>
    <t>77.941.490/</t>
  </si>
  <si>
    <t>GAZIN IND E COM DE MOVEIS ELETR</t>
  </si>
  <si>
    <t>11.200.418/</t>
  </si>
  <si>
    <t>GFG COM. DIGITAL LTDA</t>
  </si>
  <si>
    <t>12.978.121/</t>
  </si>
  <si>
    <t>GLOBAL ATACADISTA LTDA</t>
  </si>
  <si>
    <t>89.237.911/</t>
  </si>
  <si>
    <t>GLOBAL DIST DE BENS DE CONSUMO LTDA</t>
  </si>
  <si>
    <t>92.012.467/</t>
  </si>
  <si>
    <t>GRAZZIOTIN SA</t>
  </si>
  <si>
    <t>04.670.848/</t>
  </si>
  <si>
    <t>GRUPO FORTE ATAC PARTC E EMPREEND L</t>
  </si>
  <si>
    <t>02.460.736/</t>
  </si>
  <si>
    <t>HELP FARMA PROD FARMACEUTICOS LTDA</t>
  </si>
  <si>
    <t>05.159.973/</t>
  </si>
  <si>
    <t>HIPER CARIJOS LTDA</t>
  </si>
  <si>
    <t>08.197.731/</t>
  </si>
  <si>
    <t>HOME CENTER NORDE. C DE MAT P CONS</t>
  </si>
  <si>
    <t>16.676.520/</t>
  </si>
  <si>
    <t>HOSPITAL MATER DEI S.A.</t>
  </si>
  <si>
    <t>06.955.576/</t>
  </si>
  <si>
    <t>ITAPOA SUPERMERCADO LTDA</t>
  </si>
  <si>
    <t>53.045.266/</t>
  </si>
  <si>
    <t>JAD ZOGHEIB &amp; CIA LTDA</t>
  </si>
  <si>
    <t>70.963.418/</t>
  </si>
  <si>
    <t>L M COMERCIAL E DISTRIBUIDORA LTDA</t>
  </si>
  <si>
    <t>01.438.784/</t>
  </si>
  <si>
    <t>LEROY MERLIN CIA BRASIL BRICOLAGEM</t>
  </si>
  <si>
    <t>17.155.342/</t>
  </si>
  <si>
    <t>LOJA ELETRICA LTDA</t>
  </si>
  <si>
    <t>33.014.556/</t>
  </si>
  <si>
    <t>LOJAS AMERICANAS S A</t>
  </si>
  <si>
    <t>56.642.960/</t>
  </si>
  <si>
    <t>LOJAS CEM S.A</t>
  </si>
  <si>
    <t>21.545.371/</t>
  </si>
  <si>
    <t>LOJAS EDMIL S.A</t>
  </si>
  <si>
    <t>16.182.834/</t>
  </si>
  <si>
    <t>LOJAS INSINUANTE LTDA</t>
  </si>
  <si>
    <t>16.233.389/</t>
  </si>
  <si>
    <t>LOJAS LE BISCUIT S.A</t>
  </si>
  <si>
    <t>30.094.114/</t>
  </si>
  <si>
    <t>LOJAS LEADER S.A</t>
  </si>
  <si>
    <t>03.249.438/</t>
  </si>
  <si>
    <t>LOJAS REDE COMERCIAL LTDA</t>
  </si>
  <si>
    <t>92.754.738/</t>
  </si>
  <si>
    <t>LOJAS RENNER SA</t>
  </si>
  <si>
    <t>33.200.056/</t>
  </si>
  <si>
    <t>LOJAS RIACHUELO SA</t>
  </si>
  <si>
    <t>31.743.818/</t>
  </si>
  <si>
    <t>LOJAS SIMONETTI LTDA</t>
  </si>
  <si>
    <t>24.896.425/</t>
  </si>
  <si>
    <t>LUIZ TONIN E CIA LTDA</t>
  </si>
  <si>
    <t>69.194.454/</t>
  </si>
  <si>
    <t>M N TERUYA COM DE FERRAMENTAS LTDA</t>
  </si>
  <si>
    <t>47.960.950/</t>
  </si>
  <si>
    <t>MAGAZINE LUIZA SA</t>
  </si>
  <si>
    <t>47.427.653/</t>
  </si>
  <si>
    <t>MAKRO ATAC SA</t>
  </si>
  <si>
    <t>04.737.552/</t>
  </si>
  <si>
    <t>MART MINAS DISTRIBUICAO LTDA</t>
  </si>
  <si>
    <t>43.214.055/</t>
  </si>
  <si>
    <t>MARTINS COM E SERV DE DISTR SA</t>
  </si>
  <si>
    <t>73.693.665/</t>
  </si>
  <si>
    <t xml:space="preserve">MASKATE DIST DE PRODUTOS DE PAPELARIA E ARMARINHO LTDA </t>
  </si>
  <si>
    <t>02.782.071/</t>
  </si>
  <si>
    <t>MEGAFORT DIST IMP E EXP LTDA</t>
  </si>
  <si>
    <t>96.755.848/</t>
  </si>
  <si>
    <t>MERCANTE DISTR MAT ELETR CONTRUCAO</t>
  </si>
  <si>
    <t>46.044.053/</t>
  </si>
  <si>
    <t>NORTEL SUPRIMENTOS LTDA</t>
  </si>
  <si>
    <t>09.339.936/</t>
  </si>
  <si>
    <t>NS2 COM. INTERNET S.A</t>
  </si>
  <si>
    <t>65.124.307/</t>
  </si>
  <si>
    <t>ORGANIZACAO VERDEMAR LTDA</t>
  </si>
  <si>
    <t>17.185.679/</t>
  </si>
  <si>
    <t>OTHON DE CARVALHO E CIA LTDA</t>
  </si>
  <si>
    <t>23.637.077/</t>
  </si>
  <si>
    <t>P. SEVERINI NETO COML LTDA</t>
  </si>
  <si>
    <t>64.731.433/</t>
  </si>
  <si>
    <t>PBK IMPORCAO E EXPORTACAO SA</t>
  </si>
  <si>
    <t>25.757.840/</t>
  </si>
  <si>
    <t>PEIXOTO COM IND SER TRANS LTDA</t>
  </si>
  <si>
    <t>42.580.092/</t>
  </si>
  <si>
    <t>PELLEGRINO DIST DE AUTOPECAS LTDA</t>
  </si>
  <si>
    <t>33.000.167/</t>
  </si>
  <si>
    <t>PETROLEO BRASILEIRO S A</t>
  </si>
  <si>
    <t>56.681.513/</t>
  </si>
  <si>
    <t>PKK CALCADOS LTDA</t>
  </si>
  <si>
    <t>04.557.157/</t>
  </si>
  <si>
    <t>PREZUNIC COMERCIAL LTDA</t>
  </si>
  <si>
    <t>45.453.214/</t>
  </si>
  <si>
    <t>PROFARMA - DIST. DE PRODS. FARMAC.</t>
  </si>
  <si>
    <t>61.585.865/</t>
  </si>
  <si>
    <t>RAIA DROGASIL SA</t>
  </si>
  <si>
    <t>25.630.302/</t>
  </si>
  <si>
    <t>REAL MOTO PECAS LTDA</t>
  </si>
  <si>
    <t>05.916.095/</t>
  </si>
  <si>
    <t>REDE ANCORA</t>
  </si>
  <si>
    <t>07.523.452/</t>
  </si>
  <si>
    <t>10.408.123/</t>
  </si>
  <si>
    <t>09.017.015/</t>
  </si>
  <si>
    <t>58.731.662/</t>
  </si>
  <si>
    <t>RI HAPPY BRINQUEDOS S.A.</t>
  </si>
  <si>
    <t>13.481.309/</t>
  </si>
  <si>
    <t>RN COMERCIO VAREJISTA S A</t>
  </si>
  <si>
    <t>61.064.838/</t>
  </si>
  <si>
    <t>SAINT GOBAIN DO BRASIL PROD IND E P</t>
  </si>
  <si>
    <t>03.840.986/</t>
  </si>
  <si>
    <t>SAINT-GOBAIN DISTRIB BRASIL LTDA</t>
  </si>
  <si>
    <t>06.347.409/</t>
  </si>
  <si>
    <t>SBF COM DE PRODUTOS ESPORTIVOS LTDA</t>
  </si>
  <si>
    <t>06.057.223/</t>
  </si>
  <si>
    <t>SENDAS DISTR SA</t>
  </si>
  <si>
    <t>44.463.156/</t>
  </si>
  <si>
    <t>SERVIMED COMERCIAL LTDA</t>
  </si>
  <si>
    <t>08.237.002/</t>
  </si>
  <si>
    <t>SK AUTOMOTIVE S.A DIST DE AUTOPECAS</t>
  </si>
  <si>
    <t>59.656.975/</t>
  </si>
  <si>
    <t>SUP CHAIM</t>
  </si>
  <si>
    <t>17.745.613/</t>
  </si>
  <si>
    <t>SUPERMERCADO BAHAMAS LTDA</t>
  </si>
  <si>
    <t>33.304.981/</t>
  </si>
  <si>
    <t>SUPERMERCADO MUNDIAL LTDA</t>
  </si>
  <si>
    <t>48.093.892/</t>
  </si>
  <si>
    <t>SUPERMERCADO SHIBATA LTDA</t>
  </si>
  <si>
    <t>04.641.376/</t>
  </si>
  <si>
    <t>SUPERMERCADOS BH COMERCIO DE ALIMENTOS LTDA</t>
  </si>
  <si>
    <t>06.135.538/</t>
  </si>
  <si>
    <t>SUPERMERCADOS BH LTDA</t>
  </si>
  <si>
    <t>86.580.594/</t>
  </si>
  <si>
    <t>SUPERMIX COMERCIAL LTDA</t>
  </si>
  <si>
    <t>17.359.233/</t>
  </si>
  <si>
    <t>TECIDOS E ARMA MIGUEL BARTOLOMEU SA</t>
  </si>
  <si>
    <t>UNIAO DE LOJAS LEADER</t>
  </si>
  <si>
    <t>05.997.742/</t>
  </si>
  <si>
    <t>UNIMARKA DISTRIBUIDORA LTDA</t>
  </si>
  <si>
    <t>10.705.501/</t>
  </si>
  <si>
    <t>UPSIDE DISTRIBUICAO DE ALIMENTOS LTDA</t>
  </si>
  <si>
    <t>25.392.895/</t>
  </si>
  <si>
    <t xml:space="preserve">UTIL FARMA </t>
  </si>
  <si>
    <t>04.771.370/</t>
  </si>
  <si>
    <t>VESPOR AUTOMOTIVE DISTRIBUIDORA</t>
  </si>
  <si>
    <t>33.041.260/</t>
  </si>
  <si>
    <t>VIA VAREJO SA</t>
  </si>
  <si>
    <t>00.063.960/</t>
  </si>
  <si>
    <t>WAL MART BRASIL LTDA</t>
  </si>
  <si>
    <t>14.314.050/</t>
  </si>
  <si>
    <t>WMB COM ELETRONICO LTDA</t>
  </si>
  <si>
    <t>93.209.765/</t>
  </si>
  <si>
    <t>WMS SUPERMERCADO DO BRASIL</t>
  </si>
  <si>
    <t>05.103.939/</t>
  </si>
  <si>
    <t>ZAMBONI COMERCIAL SA</t>
  </si>
  <si>
    <t xml:space="preserve">EMEX </t>
  </si>
  <si>
    <t>TRT</t>
  </si>
  <si>
    <t>RELAÇÃO DE CIDADES - EMERGÊNCIA EXCEPCIONAL PARA RJ</t>
  </si>
  <si>
    <t>RELAÇÃO DE CIDADES - TAXA DE RESTRIÇÃO DE TRÂNSITO</t>
  </si>
  <si>
    <t>UF</t>
  </si>
  <si>
    <t>Sigla</t>
  </si>
  <si>
    <t>Localidade</t>
  </si>
  <si>
    <t>CEP inicial</t>
  </si>
  <si>
    <t>CEP final</t>
  </si>
  <si>
    <t>RJ</t>
  </si>
  <si>
    <t>RIO</t>
  </si>
  <si>
    <t>BELFORD ROXO</t>
  </si>
  <si>
    <t>BA</t>
  </si>
  <si>
    <t>FEC</t>
  </si>
  <si>
    <t>ANDARAI</t>
  </si>
  <si>
    <t>CACHOEIRAS DE MACACU</t>
  </si>
  <si>
    <t>BRA</t>
  </si>
  <si>
    <t>BARREIRAS</t>
  </si>
  <si>
    <t>DUQUE DE CAXIAS</t>
  </si>
  <si>
    <t>SSA</t>
  </si>
  <si>
    <t>CAMACARI</t>
  </si>
  <si>
    <t>GUAPIMIRIM</t>
  </si>
  <si>
    <t>FEIRA DE SANTANA</t>
  </si>
  <si>
    <t>IOI</t>
  </si>
  <si>
    <t>ITABORAI</t>
  </si>
  <si>
    <t>ITN</t>
  </si>
  <si>
    <t>ITABUNA</t>
  </si>
  <si>
    <t>ITAGUAI</t>
  </si>
  <si>
    <t>PNZ</t>
  </si>
  <si>
    <t>JUAZEIRO</t>
  </si>
  <si>
    <t>JAPERI</t>
  </si>
  <si>
    <t>LAURO DE FREITAS</t>
  </si>
  <si>
    <t>MAGE</t>
  </si>
  <si>
    <t>SALVADOR</t>
  </si>
  <si>
    <t>MANGARATIBA</t>
  </si>
  <si>
    <t>SAJ</t>
  </si>
  <si>
    <t>SANTO ANTONIO DE JESUS</t>
  </si>
  <si>
    <t>MARICA</t>
  </si>
  <si>
    <t>VDC</t>
  </si>
  <si>
    <t>VITORIA DA CONQUISTA</t>
  </si>
  <si>
    <t>MESQUITA</t>
  </si>
  <si>
    <t>CE</t>
  </si>
  <si>
    <t>FOR</t>
  </si>
  <si>
    <t>FORTALEZA</t>
  </si>
  <si>
    <t>NILOPOLIS</t>
  </si>
  <si>
    <t>JDO</t>
  </si>
  <si>
    <t>JUAZEIRO DO NORTE</t>
  </si>
  <si>
    <t>NITEROI</t>
  </si>
  <si>
    <t>QBX</t>
  </si>
  <si>
    <t>SOBRAL</t>
  </si>
  <si>
    <t>NOVA IGUACU</t>
  </si>
  <si>
    <t>ES</t>
  </si>
  <si>
    <t>QXD</t>
  </si>
  <si>
    <t>CACHOEIRO DE ITAPEMIRIM</t>
  </si>
  <si>
    <t>QBN</t>
  </si>
  <si>
    <t>PARACAMBI</t>
  </si>
  <si>
    <t>CTN</t>
  </si>
  <si>
    <t>COLATINA</t>
  </si>
  <si>
    <t>QUEIMADOS</t>
  </si>
  <si>
    <t>VIX</t>
  </si>
  <si>
    <t>SERRA</t>
  </si>
  <si>
    <t>RIO BONITO</t>
  </si>
  <si>
    <t>VILA VELHA</t>
  </si>
  <si>
    <t>RIO DE JANEIRO</t>
  </si>
  <si>
    <t>VITORIA</t>
  </si>
  <si>
    <t>SAO GONCALO</t>
  </si>
  <si>
    <t>MG</t>
  </si>
  <si>
    <t>UDI</t>
  </si>
  <si>
    <t>ARAGUARI</t>
  </si>
  <si>
    <t>SAO JOAO DO MERITI</t>
  </si>
  <si>
    <t>UBA</t>
  </si>
  <si>
    <t>ARAXA</t>
  </si>
  <si>
    <t>SEROPEDICA</t>
  </si>
  <si>
    <t>CON</t>
  </si>
  <si>
    <t>BELO HORIZONTE</t>
  </si>
  <si>
    <t>TANGUA</t>
  </si>
  <si>
    <t>BETIM</t>
  </si>
  <si>
    <t>AQUIRAZ</t>
  </si>
  <si>
    <t>DIQ</t>
  </si>
  <si>
    <t>BOM DESPACHO</t>
  </si>
  <si>
    <t>CASCAVEL</t>
  </si>
  <si>
    <t>MAH</t>
  </si>
  <si>
    <t>CARATINGA</t>
  </si>
  <si>
    <t>CAUCAIA</t>
  </si>
  <si>
    <t>QDF</t>
  </si>
  <si>
    <t>CONSELHEIRO LAFAIETE</t>
  </si>
  <si>
    <t>CHOROZINHO</t>
  </si>
  <si>
    <t>CONTAGEM</t>
  </si>
  <si>
    <t>EUSEBIO</t>
  </si>
  <si>
    <t>IPN</t>
  </si>
  <si>
    <t>CORONEL FABRICIANO</t>
  </si>
  <si>
    <t>QHG</t>
  </si>
  <si>
    <t>DIAMANTINA</t>
  </si>
  <si>
    <t>GUAIUBA</t>
  </si>
  <si>
    <t>JDF</t>
  </si>
  <si>
    <t>JUIZ DE FORA</t>
  </si>
  <si>
    <t>ITAITINGA</t>
  </si>
  <si>
    <t>MOC</t>
  </si>
  <si>
    <t>MONTES CLAROS</t>
  </si>
  <si>
    <t>MARACANAU</t>
  </si>
  <si>
    <t>NOVA LIMA</t>
  </si>
  <si>
    <t>MARANGUAPE</t>
  </si>
  <si>
    <t>OURO PRETO</t>
  </si>
  <si>
    <t>PACAJUS</t>
  </si>
  <si>
    <t>PITANGUI</t>
  </si>
  <si>
    <t>PACATUBA</t>
  </si>
  <si>
    <t>PPY</t>
  </si>
  <si>
    <t>POCOS DE CALDAS</t>
  </si>
  <si>
    <t>PINDORETAMA</t>
  </si>
  <si>
    <t>POUSO ALEGRE</t>
  </si>
  <si>
    <t>SAO GONCALO DO AMARANTE</t>
  </si>
  <si>
    <t>RIBEIRAO DAS NEVES</t>
  </si>
  <si>
    <t>CANDEIAS</t>
  </si>
  <si>
    <t>SANTA LUZIA</t>
  </si>
  <si>
    <t>DIAS D AVILA</t>
  </si>
  <si>
    <t>SAO JOAO DEL REI</t>
  </si>
  <si>
    <t>UBERABA</t>
  </si>
  <si>
    <t>ITAPARICA</t>
  </si>
  <si>
    <t>UBERLANDIA</t>
  </si>
  <si>
    <t>VAG</t>
  </si>
  <si>
    <t>VARGINHA</t>
  </si>
  <si>
    <t>MADRE DE DEUS</t>
  </si>
  <si>
    <t>VICOSA</t>
  </si>
  <si>
    <t>MATA DE SAO JOAO</t>
  </si>
  <si>
    <t>PR</t>
  </si>
  <si>
    <t>CWB</t>
  </si>
  <si>
    <t>ALMIRANTE TAMANDARE</t>
  </si>
  <si>
    <t>POJUCA</t>
  </si>
  <si>
    <t>AGX</t>
  </si>
  <si>
    <t>ANTONINA</t>
  </si>
  <si>
    <t>LDB</t>
  </si>
  <si>
    <t>APUCARANA</t>
  </si>
  <si>
    <t>SAO FRANCISCO DO CONDE</t>
  </si>
  <si>
    <t>ARAPONGAS</t>
  </si>
  <si>
    <t>SAO SEBASTIAO DO PASSE</t>
  </si>
  <si>
    <t>ARAUCARIA</t>
  </si>
  <si>
    <t>SIMOES FILHO</t>
  </si>
  <si>
    <t>CAMPO LARGO</t>
  </si>
  <si>
    <t>VERA CRUZ</t>
  </si>
  <si>
    <t>CAMPO MOURAO</t>
  </si>
  <si>
    <t>CASTRO</t>
  </si>
  <si>
    <t>CURITIBA</t>
  </si>
  <si>
    <t>FOZ DO IGUACU</t>
  </si>
  <si>
    <t>FRANCISCO BELTRAO</t>
  </si>
  <si>
    <t>MARINGA</t>
  </si>
  <si>
    <t>PARANAGUA</t>
  </si>
  <si>
    <t>PATO BRANCO</t>
  </si>
  <si>
    <t>PINHAIS</t>
  </si>
  <si>
    <t>PONTA GROSSA</t>
  </si>
  <si>
    <t>SAO JOSE DOS PINHAIS</t>
  </si>
  <si>
    <t>BARRA MANSA</t>
  </si>
  <si>
    <t>CAW</t>
  </si>
  <si>
    <t>MACAE</t>
  </si>
  <si>
    <t>NOVA FRIBURGO</t>
  </si>
  <si>
    <t>PETROPOLIS</t>
  </si>
  <si>
    <t>SAO JOAO DE MERITI</t>
  </si>
  <si>
    <t>RS</t>
  </si>
  <si>
    <t>QDB</t>
  </si>
  <si>
    <t>ALEGRETE</t>
  </si>
  <si>
    <t>CXJ</t>
  </si>
  <si>
    <t>BENTO GONCALVES</t>
  </si>
  <si>
    <t>CAXIAS DO SUL</t>
  </si>
  <si>
    <t>QHV</t>
  </si>
  <si>
    <t>GRAMADO</t>
  </si>
  <si>
    <t>PFB</t>
  </si>
  <si>
    <t>IJUI</t>
  </si>
  <si>
    <t>NOVO HAMBURGO</t>
  </si>
  <si>
    <t>PASSO FUNDO</t>
  </si>
  <si>
    <t>PORTO ALEGRE</t>
  </si>
  <si>
    <t>SANTA MARIA</t>
  </si>
  <si>
    <t>SAO LEOPOLDO</t>
  </si>
  <si>
    <t>SAPUCAIA DO SUL</t>
  </si>
  <si>
    <t>VACARIA</t>
  </si>
  <si>
    <t>SÃO FRANCISCO DE PAULA</t>
  </si>
  <si>
    <t>95400-000</t>
  </si>
  <si>
    <t>95400-970</t>
  </si>
  <si>
    <t>SC</t>
  </si>
  <si>
    <t>BNU</t>
  </si>
  <si>
    <t>BALNEARIO DE CAMBORIU</t>
  </si>
  <si>
    <t>JOI</t>
  </si>
  <si>
    <t>BARRA VELHA</t>
  </si>
  <si>
    <t>BLUMENAU</t>
  </si>
  <si>
    <t>SJW</t>
  </si>
  <si>
    <t>BOMBINHAS</t>
  </si>
  <si>
    <t>BRUSQUE</t>
  </si>
  <si>
    <t>JCB</t>
  </si>
  <si>
    <t>CACADOR</t>
  </si>
  <si>
    <t>XAP</t>
  </si>
  <si>
    <t>CHAPECO</t>
  </si>
  <si>
    <t>FLN</t>
  </si>
  <si>
    <t>FLORIANOPOLIS</t>
  </si>
  <si>
    <t>ITAPOA</t>
  </si>
  <si>
    <t>JARAGUA DO SUL</t>
  </si>
  <si>
    <t>JOINVILLE</t>
  </si>
  <si>
    <t>LAJ</t>
  </si>
  <si>
    <t>LAGES</t>
  </si>
  <si>
    <t>CCM</t>
  </si>
  <si>
    <t>LAGUNA</t>
  </si>
  <si>
    <t>QMF</t>
  </si>
  <si>
    <t>MAFRA</t>
  </si>
  <si>
    <t>NAVEGANTES</t>
  </si>
  <si>
    <t>PORTO BELO</t>
  </si>
  <si>
    <t>IMA</t>
  </si>
  <si>
    <t>RIO DO SUL</t>
  </si>
  <si>
    <t>RIO NEGRINHO</t>
  </si>
  <si>
    <t>SAO FRANCISCO DO SUL</t>
  </si>
  <si>
    <t>VIDEIRA</t>
  </si>
  <si>
    <t>ARARANGUA</t>
  </si>
  <si>
    <t>88900-001</t>
  </si>
  <si>
    <t>88913-899</t>
  </si>
  <si>
    <t>CAPIVARI DE BAIXO</t>
  </si>
  <si>
    <t>88745-000</t>
  </si>
  <si>
    <t>CORREIA PINTO</t>
  </si>
  <si>
    <t>88535-000</t>
  </si>
  <si>
    <t>DIONISIO CERQUEIRA</t>
  </si>
  <si>
    <t>89950-000</t>
  </si>
  <si>
    <t>IMBITUBA</t>
  </si>
  <si>
    <t>88780-000</t>
  </si>
  <si>
    <t>OTACILIO COSTA</t>
  </si>
  <si>
    <t>88540-000</t>
  </si>
  <si>
    <t>SAO BENTO DO SUL</t>
  </si>
  <si>
    <t>89280-001</t>
  </si>
  <si>
    <t>89293-899</t>
  </si>
  <si>
    <t>SEARA</t>
  </si>
  <si>
    <t>89770-000</t>
  </si>
  <si>
    <t>SE</t>
  </si>
  <si>
    <t>AJU</t>
  </si>
  <si>
    <t>ARACAJU</t>
  </si>
  <si>
    <t>SP</t>
  </si>
  <si>
    <t>CPQ</t>
  </si>
  <si>
    <t>AMERICANA</t>
  </si>
  <si>
    <t>AMPARO</t>
  </si>
  <si>
    <t>RAO</t>
  </si>
  <si>
    <t>ARARAQUARA</t>
  </si>
  <si>
    <t>SAO</t>
  </si>
  <si>
    <t>ARUJA</t>
  </si>
  <si>
    <t>ATIBAIA</t>
  </si>
  <si>
    <t>BARUERI</t>
  </si>
  <si>
    <t>BAU</t>
  </si>
  <si>
    <t>BAURU</t>
  </si>
  <si>
    <t>QCF</t>
  </si>
  <si>
    <t>BIRIGUI</t>
  </si>
  <si>
    <t>BRAGANCA PAULISTA</t>
  </si>
  <si>
    <t>BIRITIBA MIRIM</t>
  </si>
  <si>
    <t>CAIEIRAS</t>
  </si>
  <si>
    <t>CAJAMAR</t>
  </si>
  <si>
    <t>CAMPINAS</t>
  </si>
  <si>
    <t>CAMPO LIMPO PAULISTA</t>
  </si>
  <si>
    <t>AVA</t>
  </si>
  <si>
    <t>CAPAO BONITO</t>
  </si>
  <si>
    <t>CARAPICUIBA</t>
  </si>
  <si>
    <t>CDV</t>
  </si>
  <si>
    <t>CATANDUVA</t>
  </si>
  <si>
    <t>COTIA</t>
  </si>
  <si>
    <t>SSZ</t>
  </si>
  <si>
    <t>CUBATAO</t>
  </si>
  <si>
    <t>DIADEMA</t>
  </si>
  <si>
    <t>EMBU DAS ARTES</t>
  </si>
  <si>
    <t>EMBU GUACU</t>
  </si>
  <si>
    <t>SJP</t>
  </si>
  <si>
    <t>FERNANDOPOLIS</t>
  </si>
  <si>
    <t>FERRAZ DE VASCONCELOS</t>
  </si>
  <si>
    <t>FRANCISCO MORATO</t>
  </si>
  <si>
    <t>FRANCO DA ROCHA</t>
  </si>
  <si>
    <t>GUARUJA</t>
  </si>
  <si>
    <t>GUARULHOS</t>
  </si>
  <si>
    <t>INDAIATUBA</t>
  </si>
  <si>
    <t>RGI</t>
  </si>
  <si>
    <t>IPORANGA</t>
  </si>
  <si>
    <t>ITAPECERICA DA SERRA</t>
  </si>
  <si>
    <t>SOD</t>
  </si>
  <si>
    <t>ITAPETININGA</t>
  </si>
  <si>
    <t>ITAPEVI</t>
  </si>
  <si>
    <t>ITAQUAQUECETUBA</t>
  </si>
  <si>
    <t>ITATIBA</t>
  </si>
  <si>
    <t>ITU</t>
  </si>
  <si>
    <t>JABOTICABAL</t>
  </si>
  <si>
    <t>JANDIRA</t>
  </si>
  <si>
    <t>JARINU</t>
  </si>
  <si>
    <t>JAU</t>
  </si>
  <si>
    <t>JUNDIAI</t>
  </si>
  <si>
    <t>JUQUITIBA</t>
  </si>
  <si>
    <t>LIMEIRA</t>
  </si>
  <si>
    <t>MAIRIPORA</t>
  </si>
  <si>
    <t>MII</t>
  </si>
  <si>
    <t>MARILIA</t>
  </si>
  <si>
    <t>MAUA</t>
  </si>
  <si>
    <t>MOCOCA</t>
  </si>
  <si>
    <t>MOGI DAS CRUZES</t>
  </si>
  <si>
    <t>SJK</t>
  </si>
  <si>
    <t>NAZARE PAULISTA</t>
  </si>
  <si>
    <t>OSASCO</t>
  </si>
  <si>
    <t>PINDAMONHANGABA</t>
  </si>
  <si>
    <t>PIRACAIA</t>
  </si>
  <si>
    <t>PIRACICABA</t>
  </si>
  <si>
    <t>POA</t>
  </si>
  <si>
    <t>PRAIA GRANDE</t>
  </si>
  <si>
    <t>PPB</t>
  </si>
  <si>
    <t>PRESIDENTE PRUDENTE</t>
  </si>
  <si>
    <t>RIBEIRAO PIRES</t>
  </si>
  <si>
    <t>RIBEIRAO PRETO</t>
  </si>
  <si>
    <t>RIO CLARO</t>
  </si>
  <si>
    <t>SANTANA DE PARNAIBA</t>
  </si>
  <si>
    <t>SANTO ANDRE</t>
  </si>
  <si>
    <t>SANTOS</t>
  </si>
  <si>
    <t>SAO BERNARDO DO CAMPO</t>
  </si>
  <si>
    <t>SAO CAETANO DO SUL</t>
  </si>
  <si>
    <t>SAO JOSE DO RIO PRETO</t>
  </si>
  <si>
    <t>SAO JOSE DOS CAMPOS</t>
  </si>
  <si>
    <t>SAO MANUEL</t>
  </si>
  <si>
    <t>SAO PAULO</t>
  </si>
  <si>
    <t>SAO VICENTE</t>
  </si>
  <si>
    <t>SOROCABA</t>
  </si>
  <si>
    <t>SUMARE</t>
  </si>
  <si>
    <t>SUZANO</t>
  </si>
  <si>
    <t>TABOAO DA SERRA</t>
  </si>
  <si>
    <t>TATUI</t>
  </si>
  <si>
    <t>VARGEM GRANDE SUL</t>
  </si>
  <si>
    <t>VINHEDO</t>
  </si>
  <si>
    <t>VOTORANTIM</t>
  </si>
  <si>
    <t>VOTUPORANGA</t>
  </si>
  <si>
    <t>CAPITAIS</t>
  </si>
  <si>
    <t>RELAÇÃO DE CIDADES CONSIDERADAS CAPITAIS</t>
  </si>
  <si>
    <t>30001-970</t>
  </si>
  <si>
    <t>31999-899</t>
  </si>
  <si>
    <t>32001-970</t>
  </si>
  <si>
    <t>32399-899</t>
  </si>
  <si>
    <t>VIANA</t>
  </si>
  <si>
    <t>29130-010</t>
  </si>
  <si>
    <t>29139-899</t>
  </si>
  <si>
    <t>29000-971</t>
  </si>
  <si>
    <t>29092-920</t>
  </si>
  <si>
    <t>25010-000</t>
  </si>
  <si>
    <t>25499-899</t>
  </si>
  <si>
    <t>20010-000</t>
  </si>
  <si>
    <t>23799-899</t>
  </si>
  <si>
    <t>07010-000</t>
  </si>
  <si>
    <t>07399-899</t>
  </si>
  <si>
    <t>01001-000</t>
  </si>
  <si>
    <t>08491-030</t>
  </si>
  <si>
    <t>60010-000</t>
  </si>
  <si>
    <t>60878-100</t>
  </si>
  <si>
    <t>61900-005</t>
  </si>
  <si>
    <t>61939-906</t>
  </si>
  <si>
    <t>49000-001</t>
  </si>
  <si>
    <t>49097-710</t>
  </si>
  <si>
    <t>40010-000</t>
  </si>
  <si>
    <t>42510-280</t>
  </si>
  <si>
    <t>80002-900</t>
  </si>
  <si>
    <t>82999-899</t>
  </si>
  <si>
    <t>83005-000</t>
  </si>
  <si>
    <t>83149-899</t>
  </si>
  <si>
    <t>88010-000</t>
  </si>
  <si>
    <t>88099-899</t>
  </si>
  <si>
    <t>93301-970</t>
  </si>
  <si>
    <t>93548-652</t>
  </si>
  <si>
    <t>90001-970</t>
  </si>
  <si>
    <t>91920-800</t>
  </si>
  <si>
    <t>T E R C E I R A    F A I X A</t>
  </si>
  <si>
    <t>MINAS GERAIS - VALE DO JEQUITINHONHA</t>
  </si>
  <si>
    <t>BAHIA - BARREIRAS / OESTE</t>
  </si>
  <si>
    <t>SAO PAULO - LITORAL / VALE DO RIBEIRA</t>
  </si>
  <si>
    <t>PERNAMBUCO / PETROLINA</t>
  </si>
  <si>
    <t>ADAO COLARES</t>
  </si>
  <si>
    <t>ABADIA</t>
  </si>
  <si>
    <t>ALAMBARI</t>
  </si>
  <si>
    <t>AFRANIO</t>
  </si>
  <si>
    <t>TFL</t>
  </si>
  <si>
    <t>AGUA BOA</t>
  </si>
  <si>
    <t>ABAIRA</t>
  </si>
  <si>
    <t>ANDRADINA</t>
  </si>
  <si>
    <t>ARARIPINA</t>
  </si>
  <si>
    <t>AGUA BRANCA DE MINAS</t>
  </si>
  <si>
    <t>ABARE</t>
  </si>
  <si>
    <t>ANGATUBA</t>
  </si>
  <si>
    <t>BELEM DO SAO FRANCISCO</t>
  </si>
  <si>
    <t>AGUAS FORMOSAS</t>
  </si>
  <si>
    <t>ABELHAS</t>
  </si>
  <si>
    <t>APARECIDA D OESTE</t>
  </si>
  <si>
    <t>BETANIA</t>
  </si>
  <si>
    <t>AGUAS VERMELHAS</t>
  </si>
  <si>
    <t>ABOBORA</t>
  </si>
  <si>
    <t>APIAI</t>
  </si>
  <si>
    <t>BODOCO</t>
  </si>
  <si>
    <t>ALMENARA</t>
  </si>
  <si>
    <t>ABRANTES</t>
  </si>
  <si>
    <t>ARAPEI</t>
  </si>
  <si>
    <t>CABROBO</t>
  </si>
  <si>
    <t>ALTO BELO</t>
  </si>
  <si>
    <t>ACU DA TORRE</t>
  </si>
  <si>
    <t>AREIAS</t>
  </si>
  <si>
    <t>CARNAUBEIRA DA PENHA</t>
  </si>
  <si>
    <t>ALVACAO</t>
  </si>
  <si>
    <t>LAZ</t>
  </si>
  <si>
    <t>ACUDINA</t>
  </si>
  <si>
    <t>AURIFLAMA</t>
  </si>
  <si>
    <t>CEDRO</t>
  </si>
  <si>
    <t>ANGELANDIA</t>
  </si>
  <si>
    <t>ACUPE</t>
  </si>
  <si>
    <t>BANANAL</t>
  </si>
  <si>
    <t>DORMENTES</t>
  </si>
  <si>
    <t>ANGICOS DE MINAS</t>
  </si>
  <si>
    <t>AFRANIO PEIXOTO</t>
  </si>
  <si>
    <t>BARAO DE ANTONINA</t>
  </si>
  <si>
    <t>EXU</t>
  </si>
  <si>
    <t>ANTONIO FERREIRA</t>
  </si>
  <si>
    <t>IBT</t>
  </si>
  <si>
    <t>AGUAS DO PAULISTA</t>
  </si>
  <si>
    <t>BARRA DO CHAPEU</t>
  </si>
  <si>
    <t>FLORESTA</t>
  </si>
  <si>
    <t>ARACUAI</t>
  </si>
  <si>
    <t>ALEGRE</t>
  </si>
  <si>
    <t>BARRA DO TURVO</t>
  </si>
  <si>
    <t>GRANITO</t>
  </si>
  <si>
    <t>ARICANDUVA</t>
  </si>
  <si>
    <t>IRE</t>
  </si>
  <si>
    <t>AMERICA DOURADA</t>
  </si>
  <si>
    <t>BERNARDINO DE CAMPOS</t>
  </si>
  <si>
    <t>IPUBI</t>
  </si>
  <si>
    <t>PCT</t>
  </si>
  <si>
    <t>ARINOS</t>
  </si>
  <si>
    <t>SEI</t>
  </si>
  <si>
    <t>ANDORINHA</t>
  </si>
  <si>
    <t>BERTIOGA</t>
  </si>
  <si>
    <t>ITACURUBA</t>
  </si>
  <si>
    <t>ARISTIDES BATISTA</t>
  </si>
  <si>
    <t>ANGICAL</t>
  </si>
  <si>
    <t>BOM SUCESSO DE ITARARE</t>
  </si>
  <si>
    <t>JATOBA</t>
  </si>
  <si>
    <t>ATALEIA</t>
  </si>
  <si>
    <t>ANTONIO GONCALVES</t>
  </si>
  <si>
    <t>BURI</t>
  </si>
  <si>
    <t>LAGOA GRANDE</t>
  </si>
  <si>
    <t>AUGUSTO DE LIMA</t>
  </si>
  <si>
    <t>BAIANOPOLIS</t>
  </si>
  <si>
    <t>CACHOEIRA PAULISTA</t>
  </si>
  <si>
    <t>MIRANDIBA</t>
  </si>
  <si>
    <t>AVAI DO JACINTO</t>
  </si>
  <si>
    <t>BARAUNAS</t>
  </si>
  <si>
    <t>CAIUA</t>
  </si>
  <si>
    <t>MOREILANDIA</t>
  </si>
  <si>
    <t>BALBINOPOLIS</t>
  </si>
  <si>
    <t>BARRA</t>
  </si>
  <si>
    <t>CAJATI</t>
  </si>
  <si>
    <t>NASCENTE</t>
  </si>
  <si>
    <t>BANDEIRA</t>
  </si>
  <si>
    <t>BARRA DO MENDES</t>
  </si>
  <si>
    <t>CAMPINA DO MONTE ALEGRE</t>
  </si>
  <si>
    <t>OROCO</t>
  </si>
  <si>
    <t>BARREIRO BRANCO</t>
  </si>
  <si>
    <t>BARRACAS</t>
  </si>
  <si>
    <t>CANANEIA</t>
  </si>
  <si>
    <t>OURICURI</t>
  </si>
  <si>
    <t>BARREIRO DA RAIZ</t>
  </si>
  <si>
    <t>CANAS</t>
  </si>
  <si>
    <t>PARNAMIRIM</t>
  </si>
  <si>
    <t>BARREIRO DO RIO VERDE</t>
  </si>
  <si>
    <t>BARRO ALTO</t>
  </si>
  <si>
    <t>CANITAR</t>
  </si>
  <si>
    <t>PETROLANDIA</t>
  </si>
  <si>
    <t>BARROCAO</t>
  </si>
  <si>
    <t>BASTIAO</t>
  </si>
  <si>
    <t>PETROLINA</t>
  </si>
  <si>
    <t>BENTOPOLIS DE MINAS</t>
  </si>
  <si>
    <t>BELO CAMPO</t>
  </si>
  <si>
    <t>CASTILHO</t>
  </si>
  <si>
    <t>RAJADA</t>
  </si>
  <si>
    <t>BERILO</t>
  </si>
  <si>
    <t>BOA VISTA DO LAGAMAR</t>
  </si>
  <si>
    <t>CESARIO LANGE</t>
  </si>
  <si>
    <t>SALGUEIRO</t>
  </si>
  <si>
    <t>BERIZAL</t>
  </si>
  <si>
    <t>BOM JESUS DA LAPA</t>
  </si>
  <si>
    <t>CORONEL MACEDO</t>
  </si>
  <si>
    <t>SANTA CRUZ</t>
  </si>
  <si>
    <t>BERTOPOLIS</t>
  </si>
  <si>
    <t>BOM SOSSEGO</t>
  </si>
  <si>
    <t>CRUZEIRO</t>
  </si>
  <si>
    <t>SANTA CRUZ DA BAIXA VERDE</t>
  </si>
  <si>
    <t>BOCAIUVA</t>
  </si>
  <si>
    <t>BONINAL</t>
  </si>
  <si>
    <t>SANTA FILOMENA</t>
  </si>
  <si>
    <t>BONANCA</t>
  </si>
  <si>
    <t>BONITO</t>
  </si>
  <si>
    <t>CUNHA</t>
  </si>
  <si>
    <t>SANTA MARIA DA BOA VISTA</t>
  </si>
  <si>
    <t>BONFINOPOLIS DE MINAS</t>
  </si>
  <si>
    <t>BOQUIRA</t>
  </si>
  <si>
    <t>ELDORADO</t>
  </si>
  <si>
    <t>SAO JOSE DO BELMONTE</t>
  </si>
  <si>
    <t>BONITO DE MINAS</t>
  </si>
  <si>
    <t>BOTUQUARA</t>
  </si>
  <si>
    <t>ESPIRITO SANTO DO TURVO</t>
  </si>
  <si>
    <t>SERRA BRANCA</t>
  </si>
  <si>
    <t>BOTUMIRIM</t>
  </si>
  <si>
    <t>BREJO LUIZA DE BRITO</t>
  </si>
  <si>
    <t>ESTRELA DO NORTE</t>
  </si>
  <si>
    <t>SERRA TALHADA</t>
  </si>
  <si>
    <t>BRASILIA DE MINAS</t>
  </si>
  <si>
    <t>BREJOLANDIA</t>
  </si>
  <si>
    <t>EUCLIDES DA CUNHA PAULISTA</t>
  </si>
  <si>
    <t>SERRITA</t>
  </si>
  <si>
    <t>BREJO DO AMPARO</t>
  </si>
  <si>
    <t>BROTAS DE MACAUBAS</t>
  </si>
  <si>
    <t>FARTURA</t>
  </si>
  <si>
    <t>SERROLANDIA</t>
  </si>
  <si>
    <t>BUENOPOLIS</t>
  </si>
  <si>
    <t>BUCUITUBA</t>
  </si>
  <si>
    <t>GUAPIARA</t>
  </si>
  <si>
    <t>TACARATU</t>
  </si>
  <si>
    <t>BURITIS</t>
  </si>
  <si>
    <t>BURITIRAMA</t>
  </si>
  <si>
    <t>GUARACAI</t>
  </si>
  <si>
    <t>TERRA NOVA</t>
  </si>
  <si>
    <t>CABECEIRA GRANDE</t>
  </si>
  <si>
    <t>CABRALIA</t>
  </si>
  <si>
    <t>GUAREI</t>
  </si>
  <si>
    <t>TIMORANTE</t>
  </si>
  <si>
    <t>CACARATIBA</t>
  </si>
  <si>
    <t>CAEM</t>
  </si>
  <si>
    <t>TRINDADE</t>
  </si>
  <si>
    <t>CACAREMA</t>
  </si>
  <si>
    <t>CAFARNAUM</t>
  </si>
  <si>
    <t>GUZOLANDIA</t>
  </si>
  <si>
    <t>VERDEJANTE</t>
  </si>
  <si>
    <t>CACHOEIRA DE PAJEU</t>
  </si>
  <si>
    <t>CALDEIRAO GRANDE</t>
  </si>
  <si>
    <t>IGUAPE</t>
  </si>
  <si>
    <t>CACHOEIRA DO MANTEIGA</t>
  </si>
  <si>
    <t>CAMIRIM</t>
  </si>
  <si>
    <t>ILHA BELA</t>
  </si>
  <si>
    <t>CAMPANARIO</t>
  </si>
  <si>
    <t>CAMPO FORMOSO</t>
  </si>
  <si>
    <t>ILHA COMPRIDA</t>
  </si>
  <si>
    <t>CAMPO ALEGRE DE MINAS</t>
  </si>
  <si>
    <t>CANA BRAVA</t>
  </si>
  <si>
    <t>ILHA SOLTEIRA</t>
  </si>
  <si>
    <t>CAMPO AZUL</t>
  </si>
  <si>
    <t>CANAPOLIS</t>
  </si>
  <si>
    <t>INDIAPORA</t>
  </si>
  <si>
    <t>CAMPO REDONDO</t>
  </si>
  <si>
    <t>CANARANA</t>
  </si>
  <si>
    <t>IPAUSSU</t>
  </si>
  <si>
    <t>CANABRAVA</t>
  </si>
  <si>
    <t>CANATIBA</t>
  </si>
  <si>
    <t>CAPELINHA</t>
  </si>
  <si>
    <t>CANOAO</t>
  </si>
  <si>
    <t>ITABERA</t>
  </si>
  <si>
    <t>CAPITANIA</t>
  </si>
  <si>
    <t>CANUDOS</t>
  </si>
  <si>
    <t>ITAI</t>
  </si>
  <si>
    <t>CAPITAO ENEAS</t>
  </si>
  <si>
    <t>CAPIM GROSSO</t>
  </si>
  <si>
    <t>ITANHAEM</t>
  </si>
  <si>
    <t>CARAI</t>
  </si>
  <si>
    <t>CARINHANHA</t>
  </si>
  <si>
    <t>ITAOCA</t>
  </si>
  <si>
    <t>CARLOS CHAGAS</t>
  </si>
  <si>
    <t>CARIPARE</t>
  </si>
  <si>
    <t>ITAPEVA</t>
  </si>
  <si>
    <t>CATAJAS</t>
  </si>
  <si>
    <t>CARRAPICHEL</t>
  </si>
  <si>
    <t>ITAPIRAPUA PAULISTA</t>
  </si>
  <si>
    <t>CATUJI</t>
  </si>
  <si>
    <t>CATOLANDIA</t>
  </si>
  <si>
    <t>ITAPORANGA</t>
  </si>
  <si>
    <t>CATUNI</t>
  </si>
  <si>
    <t>CATOLES</t>
  </si>
  <si>
    <t>ITAPURA</t>
  </si>
  <si>
    <t>CATUTI</t>
  </si>
  <si>
    <t>CENTRAL</t>
  </si>
  <si>
    <t>ITARARE</t>
  </si>
  <si>
    <t>CHAPADA DO NORTE</t>
  </si>
  <si>
    <t>COCOS</t>
  </si>
  <si>
    <t>ITARIRI</t>
  </si>
  <si>
    <t>CHAPADA GAUCHA</t>
  </si>
  <si>
    <t>CONDEUBA</t>
  </si>
  <si>
    <t>JACUPIRANGA</t>
  </si>
  <si>
    <t>CLARO DOS POCOES</t>
  </si>
  <si>
    <t>COPIXABA</t>
  </si>
  <si>
    <t>JOAO RAMALHO</t>
  </si>
  <si>
    <t>COMERCINHO</t>
  </si>
  <si>
    <t>CORRENTINA</t>
  </si>
  <si>
    <t>JUQUIA</t>
  </si>
  <si>
    <t>CONCORDIA DE MUCURI</t>
  </si>
  <si>
    <t>COTEGIPE</t>
  </si>
  <si>
    <t>LARANJAL PAULISTA</t>
  </si>
  <si>
    <t>CONDADO DO NORTE</t>
  </si>
  <si>
    <t>CRISTOPOLIS</t>
  </si>
  <si>
    <t>LAVRINHAS</t>
  </si>
  <si>
    <t>CONEGO MARINHO</t>
  </si>
  <si>
    <t>DELFINO</t>
  </si>
  <si>
    <t>MANDURI</t>
  </si>
  <si>
    <t>CORACAO DE JESUS</t>
  </si>
  <si>
    <t>DIAS COELHO</t>
  </si>
  <si>
    <t>MESOPOLIS</t>
  </si>
  <si>
    <t>CORONEL MURTA</t>
  </si>
  <si>
    <t>DUAS BARRAS DO MORRO</t>
  </si>
  <si>
    <t>MIRA ESTRELA</t>
  </si>
  <si>
    <t>CRISOLITA</t>
  </si>
  <si>
    <t>FEIRA DA MATA</t>
  </si>
  <si>
    <t>MIRACATU</t>
  </si>
  <si>
    <t>CRISPIM JAQUES</t>
  </si>
  <si>
    <t>FILADELFIA</t>
  </si>
  <si>
    <t>MIRANTE DO PARANAPANEMA</t>
  </si>
  <si>
    <t>CRISTALIA</t>
  </si>
  <si>
    <t>FORMOSA DO RIO PRETO</t>
  </si>
  <si>
    <t>MONGAGUA</t>
  </si>
  <si>
    <t>CURIMATAI</t>
  </si>
  <si>
    <t>GAMELEIRA DA LAPA</t>
  </si>
  <si>
    <t>MONTE CASTELO</t>
  </si>
  <si>
    <t>CURRAL DE DENTRO</t>
  </si>
  <si>
    <t>GAMELEIRA DO ASSURUA</t>
  </si>
  <si>
    <t>NARANDIBA</t>
  </si>
  <si>
    <t>DIVISA ALEGRE</t>
  </si>
  <si>
    <t>GAVIAO</t>
  </si>
  <si>
    <t>NOVA CAMPINA</t>
  </si>
  <si>
    <t>DIVISOPOLIS</t>
  </si>
  <si>
    <t>GENTIO DO OURO</t>
  </si>
  <si>
    <t>NOVA CANAA PAULISTA</t>
  </si>
  <si>
    <t>DOIS DE ABRIL</t>
  </si>
  <si>
    <t>HIDROLANDIA</t>
  </si>
  <si>
    <t>NOVA GUATAPORANGA</t>
  </si>
  <si>
    <t>DOM BOSCO</t>
  </si>
  <si>
    <t>IBIPEBA</t>
  </si>
  <si>
    <t>NOVA INDEPENDENCIA</t>
  </si>
  <si>
    <t>ENGENHEIRO DOLABELA</t>
  </si>
  <si>
    <t>IBIPETUM</t>
  </si>
  <si>
    <t>OLEO</t>
  </si>
  <si>
    <t>ENGENHEIRO NAVARRO</t>
  </si>
  <si>
    <t>IBIPITANGA</t>
  </si>
  <si>
    <t>OURO VERDE</t>
  </si>
  <si>
    <t>ENGENHEIRO SCHNOOR</t>
  </si>
  <si>
    <t>IBIRABA</t>
  </si>
  <si>
    <t>OUROESTE</t>
  </si>
  <si>
    <t>EPAMINONDAS OTONI</t>
  </si>
  <si>
    <t>IBITIARA</t>
  </si>
  <si>
    <t>PANORAMA</t>
  </si>
  <si>
    <t>ERMIDINHA</t>
  </si>
  <si>
    <t>IBITITA</t>
  </si>
  <si>
    <t>PARANAPANEMA</t>
  </si>
  <si>
    <t>ESPINOSA</t>
  </si>
  <si>
    <t>IBITUNANE</t>
  </si>
  <si>
    <t>PARIQUERA-ACU</t>
  </si>
  <si>
    <t>ESTRELA DE JORDANIA</t>
  </si>
  <si>
    <t>IBOTIRAMA</t>
  </si>
  <si>
    <t>PAULICEIA</t>
  </si>
  <si>
    <t>FELISBURGO</t>
  </si>
  <si>
    <t>ICO</t>
  </si>
  <si>
    <t>PEDRO DE TOLEDO</t>
  </si>
  <si>
    <t>FERNAO DIAS</t>
  </si>
  <si>
    <t>GNM</t>
  </si>
  <si>
    <t>IGAPORA</t>
  </si>
  <si>
    <t>PEREIRAS</t>
  </si>
  <si>
    <t>FERREIROPOLIS</t>
  </si>
  <si>
    <t>IGARA</t>
  </si>
  <si>
    <t xml:space="preserve">SZ </t>
  </si>
  <si>
    <t>PERUIBE</t>
  </si>
  <si>
    <t>FIDELANDIA</t>
  </si>
  <si>
    <t>IGARITE</t>
  </si>
  <si>
    <t>PIQUETE</t>
  </si>
  <si>
    <t>FORMOSO</t>
  </si>
  <si>
    <t>IGUIRA</t>
  </si>
  <si>
    <t>PIRAJU</t>
  </si>
  <si>
    <t>FRANCISCO BADARO</t>
  </si>
  <si>
    <t>IGUITU</t>
  </si>
  <si>
    <t>PIRAPOZINHO</t>
  </si>
  <si>
    <t>FRANCISCO DUMONT</t>
  </si>
  <si>
    <t>INHAUMAS</t>
  </si>
  <si>
    <t>POPULINA</t>
  </si>
  <si>
    <t>FRANCISCO SA</t>
  </si>
  <si>
    <t>INUBIA</t>
  </si>
  <si>
    <t>PORANGABA</t>
  </si>
  <si>
    <t>FRANCISCOPOLIS</t>
  </si>
  <si>
    <t>IPUCABA</t>
  </si>
  <si>
    <t>POTIM</t>
  </si>
  <si>
    <t>FREI GASPAR</t>
  </si>
  <si>
    <t>IPUPIARA</t>
  </si>
  <si>
    <t>FREI SERAFIM</t>
  </si>
  <si>
    <t>IRAPORANGA</t>
  </si>
  <si>
    <t>PRESIDENTE EPITACIO</t>
  </si>
  <si>
    <t>FREIRE CARDOSO</t>
  </si>
  <si>
    <t>IRAQUARA</t>
  </si>
  <si>
    <t>QUADRA</t>
  </si>
  <si>
    <t>FRONTEIRA DOS VALES</t>
  </si>
  <si>
    <t>IRECE</t>
  </si>
  <si>
    <t>QUELUZ</t>
  </si>
  <si>
    <t>FRUTA DE LEITE</t>
  </si>
  <si>
    <t>ITAGUACU DA BAHIA</t>
  </si>
  <si>
    <t>REGISTRO</t>
  </si>
  <si>
    <t>GAMELEIRAS</t>
  </si>
  <si>
    <t>ITAJUBAQUARA</t>
  </si>
  <si>
    <t>RIBEIRA</t>
  </si>
  <si>
    <t>GLAUCILANDIA</t>
  </si>
  <si>
    <t>ITIUBA</t>
  </si>
  <si>
    <t>RIBEIRAO BRANCO</t>
  </si>
  <si>
    <t>GLUCINIO</t>
  </si>
  <si>
    <t>JABORANDI</t>
  </si>
  <si>
    <t>RIBEIRAO GRANDE</t>
  </si>
  <si>
    <t>GORUTUBA</t>
  </si>
  <si>
    <t>JAGUARARI</t>
  </si>
  <si>
    <t>RIVERSUL</t>
  </si>
  <si>
    <t>GRAO MOGOL</t>
  </si>
  <si>
    <t>JOAO DOURADO</t>
  </si>
  <si>
    <t>ROSANA</t>
  </si>
  <si>
    <t>GUAICUI</t>
  </si>
  <si>
    <t>JUACEMA</t>
  </si>
  <si>
    <t>RUBINEIA</t>
  </si>
  <si>
    <t>GUARACIAMA</t>
  </si>
  <si>
    <t>JUPAGUA</t>
  </si>
  <si>
    <t>SALTO GRANDE</t>
  </si>
  <si>
    <t>GUARANILANDIA</t>
  </si>
  <si>
    <t>JUSSARA</t>
  </si>
  <si>
    <t>SANDOVALINA</t>
  </si>
  <si>
    <t>GUARATAIA</t>
  </si>
  <si>
    <t>LAGOA CLARA</t>
  </si>
  <si>
    <t>SANTA CLARA D OESTE</t>
  </si>
  <si>
    <t>IBIAI</t>
  </si>
  <si>
    <t>LAGOA DO BOI</t>
  </si>
  <si>
    <t>SANTA FE DO SUL</t>
  </si>
  <si>
    <t>IBIRACATU</t>
  </si>
  <si>
    <t>SANTA MERCEDES</t>
  </si>
  <si>
    <t>ICARAI DE MINAS</t>
  </si>
  <si>
    <t>LAPAO</t>
  </si>
  <si>
    <t>INDAIABIRA</t>
  </si>
  <si>
    <t>LENCOIS</t>
  </si>
  <si>
    <t>SAO JOAO DO PAU D ALHO</t>
  </si>
  <si>
    <t>ITACAMBIRA</t>
  </si>
  <si>
    <t>LUIS EDUARDO MAGALHAES</t>
  </si>
  <si>
    <t>SAO JOSE DO BARREIRO</t>
  </si>
  <si>
    <t>ITACARAMBI</t>
  </si>
  <si>
    <t>MACAUBAS</t>
  </si>
  <si>
    <t>SAO PEDRO DO TURVO</t>
  </si>
  <si>
    <t>ITAIPE</t>
  </si>
  <si>
    <t>MALHADA</t>
  </si>
  <si>
    <t>ITAMARATI</t>
  </si>
  <si>
    <t>MANSIDAO</t>
  </si>
  <si>
    <t>SARUTAIA</t>
  </si>
  <si>
    <t>ITAMBACURI</t>
  </si>
  <si>
    <t>MARIQUITA</t>
  </si>
  <si>
    <t>SETE BARRAS</t>
  </si>
  <si>
    <t>ITAMIRIM</t>
  </si>
  <si>
    <t>MINAS DO ESPIRITO SANTO</t>
  </si>
  <si>
    <t>SILVEIRAS</t>
  </si>
  <si>
    <t>ITAOBIM</t>
  </si>
  <si>
    <t>MOCAMBO</t>
  </si>
  <si>
    <t>SUD MENNUCCI</t>
  </si>
  <si>
    <t>ITAPIRU</t>
  </si>
  <si>
    <t>MORPARA</t>
  </si>
  <si>
    <t>SUZANAPOLIS</t>
  </si>
  <si>
    <t>ITINGA</t>
  </si>
  <si>
    <t>MORRO DO CHAPEU</t>
  </si>
  <si>
    <t>TACIBA</t>
  </si>
  <si>
    <t>ITIRA</t>
  </si>
  <si>
    <t>MULUNGU DO MORRO</t>
  </si>
  <si>
    <t>TAGUAI</t>
  </si>
  <si>
    <t>JACARE</t>
  </si>
  <si>
    <t>MUQUEM DE SAO FRANCISCO</t>
  </si>
  <si>
    <t>TAQUARITUBA</t>
  </si>
  <si>
    <t>JACINTO</t>
  </si>
  <si>
    <t>NOVO HORIZONTE</t>
  </si>
  <si>
    <t>TAQUARIVAI</t>
  </si>
  <si>
    <t>JAGUARAO</t>
  </si>
  <si>
    <t>OLHOS DAGUA DO SECO</t>
  </si>
  <si>
    <t>TEJUPA</t>
  </si>
  <si>
    <t>JAGUARITIRA</t>
  </si>
  <si>
    <t>OLHOS DAGUA DO SERAFIM</t>
  </si>
  <si>
    <t>TEODORO SAMPAIO</t>
  </si>
  <si>
    <t>JAIBA</t>
  </si>
  <si>
    <t>OLIVEIRA DOS BREJINHOS</t>
  </si>
  <si>
    <t>TIMBURI</t>
  </si>
  <si>
    <t>JANAUBA</t>
  </si>
  <si>
    <t>OURICURI DO OURO</t>
  </si>
  <si>
    <t>TORRE DE PEDRA</t>
  </si>
  <si>
    <t>JANUARIA</t>
  </si>
  <si>
    <t>PALMAS DE MONTE ALTO</t>
  </si>
  <si>
    <t>TRES FRONTEIRAS</t>
  </si>
  <si>
    <t>JAPONVAR</t>
  </si>
  <si>
    <t>PALMEIRAS</t>
  </si>
  <si>
    <t>JENIPAPO DE MINAS</t>
  </si>
  <si>
    <t>PARATECA</t>
  </si>
  <si>
    <t>JEQUITAI</t>
  </si>
  <si>
    <t>PARATINGA</t>
  </si>
  <si>
    <t>JEQUITINHONHA</t>
  </si>
  <si>
    <t>PEDRAS ALTAS DO MIRIM</t>
  </si>
  <si>
    <t>JOAIMA</t>
  </si>
  <si>
    <t>PIATA</t>
  </si>
  <si>
    <t>JOAQUIM FELICIO</t>
  </si>
  <si>
    <t>PINDOBACU</t>
  </si>
  <si>
    <t>JORDANIA</t>
  </si>
  <si>
    <t>PITUBA</t>
  </si>
  <si>
    <t>JOSE GONCALVES DE MINAS</t>
  </si>
  <si>
    <t>PONTO NOVO</t>
  </si>
  <si>
    <t>JOSE RAYDAN</t>
  </si>
  <si>
    <t>PRESIDENTE DUTRA</t>
  </si>
  <si>
    <t>JOSENOPOLIS</t>
  </si>
  <si>
    <t>PREVENIDO</t>
  </si>
  <si>
    <t>JUNCO DE MINAS</t>
  </si>
  <si>
    <t>QUIXABA</t>
  </si>
  <si>
    <t>JURAMENTO</t>
  </si>
  <si>
    <t>QUIXABEIRA</t>
  </si>
  <si>
    <t>JUVENILIA</t>
  </si>
  <si>
    <t>RECIFE</t>
  </si>
  <si>
    <t>LADAINHA</t>
  </si>
  <si>
    <t>REMEDIOS</t>
  </si>
  <si>
    <t>LAGOA DOS PATOS</t>
  </si>
  <si>
    <t>RIACHAO DAS NEVES</t>
  </si>
  <si>
    <t>LEME DO PRADO</t>
  </si>
  <si>
    <t>RIACHAO DO UTINGA</t>
  </si>
  <si>
    <t>LEVINOPOLIS</t>
  </si>
  <si>
    <t>RIACHO DE SANTANA</t>
  </si>
  <si>
    <t>LONTRA</t>
  </si>
  <si>
    <t>SALOBRO</t>
  </si>
  <si>
    <t>LUFA</t>
  </si>
  <si>
    <t>SANTA MARIA DA VITORIA</t>
  </si>
  <si>
    <t>LUISLANDIA</t>
  </si>
  <si>
    <t>SANTA RITA DE CASSIA</t>
  </si>
  <si>
    <t>LUIZ PIRES DE MINAS</t>
  </si>
  <si>
    <t>SANTANA</t>
  </si>
  <si>
    <t>MACHACALIS</t>
  </si>
  <si>
    <t>SANTO INACIO</t>
  </si>
  <si>
    <t>MAE DOS HOMENS</t>
  </si>
  <si>
    <t>SAO DESIDERIO</t>
  </si>
  <si>
    <t>MALACACHETA</t>
  </si>
  <si>
    <t>SAO FELIX DO CORIBE</t>
  </si>
  <si>
    <t>MAMONAS</t>
  </si>
  <si>
    <t>SAO GABRIEL</t>
  </si>
  <si>
    <t>MANGA</t>
  </si>
  <si>
    <t>SAO JOSE DO JACUIPE</t>
  </si>
  <si>
    <t>MARAMBAINHA</t>
  </si>
  <si>
    <t>SAO JOSE DO RIO GRANDE</t>
  </si>
  <si>
    <t>MATA VERDE</t>
  </si>
  <si>
    <t>SAUDAVEL</t>
  </si>
  <si>
    <t>MATIAS CARDOSO</t>
  </si>
  <si>
    <t>SAUDE</t>
  </si>
  <si>
    <t>MATO VERDE</t>
  </si>
  <si>
    <t>SEABRA</t>
  </si>
  <si>
    <t>MEDINA</t>
  </si>
  <si>
    <t>SENHOR DO BONFIM</t>
  </si>
  <si>
    <t>MENDONCA</t>
  </si>
  <si>
    <t>SERRA DO RAMALHO</t>
  </si>
  <si>
    <t>MINAS NOVAS</t>
  </si>
  <si>
    <t>SERRA DOURADA</t>
  </si>
  <si>
    <t>MIRABELA</t>
  </si>
  <si>
    <t>SITIO DA BARAUNA</t>
  </si>
  <si>
    <t>MIRALTA</t>
  </si>
  <si>
    <t>SITIO DO MATO</t>
  </si>
  <si>
    <t>MIRAVANIA</t>
  </si>
  <si>
    <t>SITIO GRANDE</t>
  </si>
  <si>
    <t>MOCAMBINHO</t>
  </si>
  <si>
    <t>SOARES</t>
  </si>
  <si>
    <t>MONTALVANIA</t>
  </si>
  <si>
    <t>SOUTO SOARES</t>
  </si>
  <si>
    <t>MONTE AZUL</t>
  </si>
  <si>
    <t>TABOCAS DO BREJO VELHO</t>
  </si>
  <si>
    <t>MONTE FORMOSO</t>
  </si>
  <si>
    <t>TAGUA</t>
  </si>
  <si>
    <t>MONTE REI</t>
  </si>
  <si>
    <t>TAMBURIL</t>
  </si>
  <si>
    <t>TANQUINHO DO POCO</t>
  </si>
  <si>
    <t>MONTEZUMA</t>
  </si>
  <si>
    <t>TIJUACU</t>
  </si>
  <si>
    <t>MORRO</t>
  </si>
  <si>
    <t>UIBAI</t>
  </si>
  <si>
    <t>MUCURI</t>
  </si>
  <si>
    <t>UTINGA</t>
  </si>
  <si>
    <t>MUQUEM</t>
  </si>
  <si>
    <t>VARZEA DO CALDAS</t>
  </si>
  <si>
    <t>NANUQUE</t>
  </si>
  <si>
    <t>VARZEA DO CERCO</t>
  </si>
  <si>
    <t>NATALANDIA</t>
  </si>
  <si>
    <t>VARZEA NOVA</t>
  </si>
  <si>
    <t>NHANDUTIBA</t>
  </si>
  <si>
    <t>VARZEAS</t>
  </si>
  <si>
    <t>NINHEIRA</t>
  </si>
  <si>
    <t>VENTURA</t>
  </si>
  <si>
    <t>NOVA ESPERANCA</t>
  </si>
  <si>
    <t>VOLTA DA SERRA</t>
  </si>
  <si>
    <t>NOVA MINDA</t>
  </si>
  <si>
    <t>WAGNER</t>
  </si>
  <si>
    <t>NOVA PORTEIRINHA</t>
  </si>
  <si>
    <t>WANDERLEY</t>
  </si>
  <si>
    <t>NOVILHONA</t>
  </si>
  <si>
    <t>XIQUEXIQUE</t>
  </si>
  <si>
    <t>NOVO CRUZEIRO</t>
  </si>
  <si>
    <t>NOVO ORIENTE DE MINAS</t>
  </si>
  <si>
    <t>NOVORIZONTE</t>
  </si>
  <si>
    <t>OLHOS D AGUA</t>
  </si>
  <si>
    <t>OLIMPIO CAMPOS</t>
  </si>
  <si>
    <t>OURO VERDE DE MINAS</t>
  </si>
  <si>
    <t>PACIENCIA</t>
  </si>
  <si>
    <t>PADRE CARVALHO</t>
  </si>
  <si>
    <t>PADRE PARAISO</t>
  </si>
  <si>
    <t>PAI PEDRO</t>
  </si>
  <si>
    <t>PALMOPOLIS</t>
  </si>
  <si>
    <t>PARACATU</t>
  </si>
  <si>
    <t>PAREDAO DE MINAS</t>
  </si>
  <si>
    <t>PATIS</t>
  </si>
  <si>
    <t>PAVAO</t>
  </si>
  <si>
    <t>PEDRA AZUL</t>
  </si>
  <si>
    <t>PEDRA GRANDE</t>
  </si>
  <si>
    <t>PEDRAS DE MARIA DA CRUZ</t>
  </si>
  <si>
    <t>PEDRO VERSIANI</t>
  </si>
  <si>
    <t>PINTOPOLIS</t>
  </si>
  <si>
    <t>PITARANA</t>
  </si>
  <si>
    <t>POAIA</t>
  </si>
  <si>
    <t>PONTE DOS CIGANOS</t>
  </si>
  <si>
    <t>PONTO DO MARAMBAIA</t>
  </si>
  <si>
    <t>PONTO DOS VOLANTES</t>
  </si>
  <si>
    <t>PORTEIRINHA</t>
  </si>
  <si>
    <t>PORTO AGRARIO</t>
  </si>
  <si>
    <t>POTE</t>
  </si>
  <si>
    <t>PRESIDENTE PENA</t>
  </si>
  <si>
    <t>QUEIXADA</t>
  </si>
  <si>
    <t>QUEMQUEM</t>
  </si>
  <si>
    <t>RIACHINHO</t>
  </si>
  <si>
    <t>RIACHO DA CRUZ</t>
  </si>
  <si>
    <t>RIACHO DOS MACHADOS</t>
  </si>
  <si>
    <t>RIO DO PRADO</t>
  </si>
  <si>
    <t>RIO PARDO DE MINAS</t>
  </si>
  <si>
    <t>RIO PRETINHO</t>
  </si>
  <si>
    <t>RUBELITA</t>
  </si>
  <si>
    <t>RUBIM</t>
  </si>
  <si>
    <t>SALINAS</t>
  </si>
  <si>
    <t>SALTO DA DIVISA</t>
  </si>
  <si>
    <t>SANTA CRUZ DE BOTUMIRIM</t>
  </si>
  <si>
    <t>SANTA CRUZ DE SALINAS</t>
  </si>
  <si>
    <t>SANTA DA PEDRA</t>
  </si>
  <si>
    <t>SANTA HELENA DE MINAS</t>
  </si>
  <si>
    <t>SANTA MARIA DO SALTO</t>
  </si>
  <si>
    <t>SANTA MARIA DO SUACUI</t>
  </si>
  <si>
    <t>SANTA ROSA DE LIMA</t>
  </si>
  <si>
    <t>SANTANA DO ARACUAI</t>
  </si>
  <si>
    <t>SANTO ANTONIO DA BOA VISTA</t>
  </si>
  <si>
    <t>SANTO ANTONIO DO JACINTO</t>
  </si>
  <si>
    <t>SANTO ANTONIO DO MUCURI</t>
  </si>
  <si>
    <t>SANTO ANTONIO DO RETIRO</t>
  </si>
  <si>
    <t>SANTO ANTONIO DOS ARAUJOS</t>
  </si>
  <si>
    <t>SAO FRANCISCO</t>
  </si>
  <si>
    <t>SAO GERALDO</t>
  </si>
  <si>
    <t>SAO JOAO DA LAGOA</t>
  </si>
  <si>
    <t>SAO JOAO DA PONTE</t>
  </si>
  <si>
    <t>SAO JOAO DA VEREDA</t>
  </si>
  <si>
    <t>SAO JOAO DAS MISSOES</t>
  </si>
  <si>
    <t>SAO JOAO DO BONITO</t>
  </si>
  <si>
    <t>SAO JOAO DO PACUI</t>
  </si>
  <si>
    <t>SAO JOAO DO PARAISO</t>
  </si>
  <si>
    <t>SAO JOAQUIM</t>
  </si>
  <si>
    <t>SAO PEDRO DA GARCA</t>
  </si>
  <si>
    <t>SAO PEDRO DAS TABOCAS</t>
  </si>
  <si>
    <t>SAO PEDRO DO JEQUITINHONHA</t>
  </si>
  <si>
    <t>SAO ROBERTO</t>
  </si>
  <si>
    <t>SAO ROMAO</t>
  </si>
  <si>
    <t>SAO SEBASTIAO DO MARANHAO</t>
  </si>
  <si>
    <t>SAO SEBASTIAO DOS POCOES</t>
  </si>
  <si>
    <t>SERRA DAS ARARAS</t>
  </si>
  <si>
    <t>SERRA DOS AIMORES</t>
  </si>
  <si>
    <t>SERRA NOVA</t>
  </si>
  <si>
    <t>SERRANOPOLIS DE MINAS</t>
  </si>
  <si>
    <t>SETUBINHA</t>
  </si>
  <si>
    <t>SIMAO CAMPOS</t>
  </si>
  <si>
    <t>SUCANGA</t>
  </si>
  <si>
    <t>TAIOBEIRAS</t>
  </si>
  <si>
    <t>TEJUCO</t>
  </si>
  <si>
    <t>TEOFILO OTONI</t>
  </si>
  <si>
    <t>TERRA BRANCA</t>
  </si>
  <si>
    <t>TOCANDIRA</t>
  </si>
  <si>
    <t>TOPAZIO</t>
  </si>
  <si>
    <t>TUPARECE</t>
  </si>
  <si>
    <t>TURMALINA</t>
  </si>
  <si>
    <t>UBAI</t>
  </si>
  <si>
    <t>UMBURATIBA</t>
  </si>
  <si>
    <t>UMBUZEIRO</t>
  </si>
  <si>
    <t>UNAI</t>
  </si>
  <si>
    <t>URUANA DE MINAS</t>
  </si>
  <si>
    <t>URUCUIA</t>
  </si>
  <si>
    <t>VALAO</t>
  </si>
  <si>
    <t>VARGEM GRANDE DO RIO PARDO</t>
  </si>
  <si>
    <t>VARZELANDIA</t>
  </si>
  <si>
    <t>VERDELANDIA</t>
  </si>
  <si>
    <t>VEREDA DO PARAISO</t>
  </si>
  <si>
    <t>VEREDINHA</t>
  </si>
  <si>
    <t>VILA NOVA DE MINAS</t>
  </si>
  <si>
    <t>VILA NOVA DOS POCOES</t>
  </si>
  <si>
    <t>VILA PEREIRA</t>
  </si>
  <si>
    <t>VIRGEM DA LAPA</t>
  </si>
  <si>
    <t>VISTA ALEGRE</t>
  </si>
  <si>
    <t>TDA</t>
  </si>
  <si>
    <t>RELAÇÃO DE CIDADES - TAXA DE DIFICULDADE DE ACESSO</t>
  </si>
  <si>
    <t>ABAIBA - LEOPOLDINA</t>
  </si>
  <si>
    <t>36704-000</t>
  </si>
  <si>
    <t>36708-200</t>
  </si>
  <si>
    <t>46690-000</t>
  </si>
  <si>
    <t>ABOBORA - JUAZEIRO</t>
  </si>
  <si>
    <t>48912-000</t>
  </si>
  <si>
    <t>ABREUS - ALTO RIO DOCE</t>
  </si>
  <si>
    <t>36263-000</t>
  </si>
  <si>
    <t>ACEGUA</t>
  </si>
  <si>
    <t>96445-000</t>
  </si>
  <si>
    <t>ACUCENA</t>
  </si>
  <si>
    <t>35147-000</t>
  </si>
  <si>
    <t>35147-971</t>
  </si>
  <si>
    <t>ACUDINA - SANTA MARIA DA VITORIA</t>
  </si>
  <si>
    <t>47645-000</t>
  </si>
  <si>
    <t>ACURUI - ITABIRITO</t>
  </si>
  <si>
    <t>35451-000</t>
  </si>
  <si>
    <t>ADAO COLARES - BOTUMIRIM</t>
  </si>
  <si>
    <t>39597-000</t>
  </si>
  <si>
    <t>ADRIANOPOLIS</t>
  </si>
  <si>
    <t>83490-000</t>
  </si>
  <si>
    <t>ADRIANOPOLIS - GRANJA</t>
  </si>
  <si>
    <t>62435-000</t>
  </si>
  <si>
    <t>AFRANIO PEIXOTO - LENCOIS</t>
  </si>
  <si>
    <t>46965-000</t>
  </si>
  <si>
    <t>AGUA BRANCA DE MINAS - COMERCINHO</t>
  </si>
  <si>
    <t>39629-000</t>
  </si>
  <si>
    <t>AGUA SANTA</t>
  </si>
  <si>
    <t>99965-000</t>
  </si>
  <si>
    <t>AGUA VIVA - ESTRELA DALVA</t>
  </si>
  <si>
    <t>36728-000</t>
  </si>
  <si>
    <t>AGUAS DE CONTENDAS - CONCEICAO DO RIO VERDE</t>
  </si>
  <si>
    <t>37435-000</t>
  </si>
  <si>
    <t>AGUAS DO PAULISTA - PARATINGA</t>
  </si>
  <si>
    <t>47505-000</t>
  </si>
  <si>
    <t>AGUAS FERREAS - SAO PEDRO DOS FERROS</t>
  </si>
  <si>
    <t>35362-000</t>
  </si>
  <si>
    <t>AGUAS MORNAS</t>
  </si>
  <si>
    <t>88150-000</t>
  </si>
  <si>
    <t>ALBERTO ISAACSON - MARTINHO CAMPOS</t>
  </si>
  <si>
    <t>35608-000</t>
  </si>
  <si>
    <t>ALBERTOS - FORMIGA</t>
  </si>
  <si>
    <t>35576-000</t>
  </si>
  <si>
    <t>35579-400</t>
  </si>
  <si>
    <t>ALEGRIA - SIMONESIA</t>
  </si>
  <si>
    <t>36935-000</t>
  </si>
  <si>
    <t>ALEXANDRITA - ITURAMA</t>
  </si>
  <si>
    <t>38282-000</t>
  </si>
  <si>
    <t>ALMEIDA - JABOTICATUBAS</t>
  </si>
  <si>
    <t>35835-000</t>
  </si>
  <si>
    <t>ALPESTRE</t>
  </si>
  <si>
    <t>98480-000</t>
  </si>
  <si>
    <t>ALTAMIRA DO PARANA</t>
  </si>
  <si>
    <t>85280-000</t>
  </si>
  <si>
    <t>ALTO BELO - BOCAIUVA</t>
  </si>
  <si>
    <t>39394-000</t>
  </si>
  <si>
    <t>ALTO CALCADO - SAO JOSE DO CALCADO</t>
  </si>
  <si>
    <t>29475-000</t>
  </si>
  <si>
    <t>29475-980</t>
  </si>
  <si>
    <t>ALTO CALDEIRAO - SANTA TERESA</t>
  </si>
  <si>
    <t>29656-000</t>
  </si>
  <si>
    <t>ALTO CASTELINHO - VARGEM ALTA</t>
  </si>
  <si>
    <t>29296-000</t>
  </si>
  <si>
    <t>29296-982</t>
  </si>
  <si>
    <t>ALTO MARANHAO - CONGONHAS</t>
  </si>
  <si>
    <t>36417-000</t>
  </si>
  <si>
    <t>ALTO MUTUM PRETO - BAIXO GUANDU</t>
  </si>
  <si>
    <t>29737-000</t>
  </si>
  <si>
    <t>ALTO PARAISO</t>
  </si>
  <si>
    <t>87528-971</t>
  </si>
  <si>
    <t>ALTO SANTA MARIA - SANTA TERESA</t>
  </si>
  <si>
    <t>29662-000</t>
  </si>
  <si>
    <t>ALTOLANDIA - TAPIRAI</t>
  </si>
  <si>
    <t>38985-000</t>
  </si>
  <si>
    <t>ALVACAO - CORACAO DE JESUS</t>
  </si>
  <si>
    <t>39347-000</t>
  </si>
  <si>
    <t>ALVORADA - CARANGOLA</t>
  </si>
  <si>
    <t>36803-000</t>
  </si>
  <si>
    <t>AMANDA - BALDIM</t>
  </si>
  <si>
    <t>35734-000</t>
  </si>
  <si>
    <t>AMANHECE - ARAGUARI</t>
  </si>
  <si>
    <t>38455-000</t>
  </si>
  <si>
    <t>AMANIU - SENTO SE</t>
  </si>
  <si>
    <t>47380-000</t>
  </si>
  <si>
    <t>AMARAL FERRADOR</t>
  </si>
  <si>
    <t>96635-000</t>
  </si>
  <si>
    <t>AMARANTINA - OURO PRETO</t>
  </si>
  <si>
    <t>35412-000</t>
  </si>
  <si>
    <t>44910-000</t>
  </si>
  <si>
    <t>44914-000</t>
  </si>
  <si>
    <t>AMERICO ALVES - SENTO SE</t>
  </si>
  <si>
    <t>47370-000</t>
  </si>
  <si>
    <t>ANAHY</t>
  </si>
  <si>
    <t>85425-000</t>
  </si>
  <si>
    <t>ANDIROBA - ESMERALDAS</t>
  </si>
  <si>
    <t>35745-000</t>
  </si>
  <si>
    <t>ANDRE DA ROCHA</t>
  </si>
  <si>
    <t>95310-000</t>
  </si>
  <si>
    <t>ANDREQUICE - TRES MARIAS</t>
  </si>
  <si>
    <t>39207-000</t>
  </si>
  <si>
    <t>ANGATURAMA - RECREIO</t>
  </si>
  <si>
    <t>36746-000</t>
  </si>
  <si>
    <t>39685-000</t>
  </si>
  <si>
    <t>39685-971</t>
  </si>
  <si>
    <t>ANGELINA</t>
  </si>
  <si>
    <t>88460-000</t>
  </si>
  <si>
    <t>ANGICOS DE MINAS - BRASILIA DE MINAS</t>
  </si>
  <si>
    <t>39332-000</t>
  </si>
  <si>
    <t>ANGUERETA - CURVELO</t>
  </si>
  <si>
    <t>35793-000</t>
  </si>
  <si>
    <t>ANGUSTURA - ALEM PARAIBA</t>
  </si>
  <si>
    <t>36664-000</t>
  </si>
  <si>
    <t>ANITAPOLIS</t>
  </si>
  <si>
    <t>88475-000</t>
  </si>
  <si>
    <t>ANTARI - BARRA DO MENDES</t>
  </si>
  <si>
    <t>44996-001</t>
  </si>
  <si>
    <t>44996-970</t>
  </si>
  <si>
    <t>ANTONIO FERREIRA - FRANCISCOPOLIS</t>
  </si>
  <si>
    <t>39697-000</t>
  </si>
  <si>
    <t>ANTONIO OLINTO</t>
  </si>
  <si>
    <t>83980-000</t>
  </si>
  <si>
    <t>ANTONIO PEREIRA - OURO PRETO</t>
  </si>
  <si>
    <t>35411-000</t>
  </si>
  <si>
    <t>ANTUNES - IGARATINGA</t>
  </si>
  <si>
    <t>35698-000</t>
  </si>
  <si>
    <t>ANUTIBA - ALEGRE</t>
  </si>
  <si>
    <t>29530-000</t>
  </si>
  <si>
    <t>APARECIDA DE MINAS - FRUTAL</t>
  </si>
  <si>
    <t>38205-000</t>
  </si>
  <si>
    <t>ARACAJI DE MINAS - PEDRA AZUL</t>
  </si>
  <si>
    <t>39976-000</t>
  </si>
  <si>
    <t>ARACATI DE MINAS - CATAGUASES</t>
  </si>
  <si>
    <t>36776-000</t>
  </si>
  <si>
    <t>ARACUI - CASTELO</t>
  </si>
  <si>
    <t>29365-000</t>
  </si>
  <si>
    <t>ARAMIRIM - ACUCENA</t>
  </si>
  <si>
    <t>35147-100</t>
  </si>
  <si>
    <t>ARANDU</t>
  </si>
  <si>
    <t>18710-000</t>
  </si>
  <si>
    <t>18710-970</t>
  </si>
  <si>
    <t>ARANHA - BRUMADINHO</t>
  </si>
  <si>
    <t>35462-000</t>
  </si>
  <si>
    <t>ARAPA - TIANGUA</t>
  </si>
  <si>
    <t>62328-000</t>
  </si>
  <si>
    <t>12870-000</t>
  </si>
  <si>
    <t>12870-970</t>
  </si>
  <si>
    <t>ARAPUA</t>
  </si>
  <si>
    <t>86884-000</t>
  </si>
  <si>
    <t>ARARAI - ALEGRE</t>
  </si>
  <si>
    <t>29535-000</t>
  </si>
  <si>
    <t>ARAUNA - GUAPE</t>
  </si>
  <si>
    <t>37180-000</t>
  </si>
  <si>
    <t>ARCANGELO - SAO JOAO DEL REI</t>
  </si>
  <si>
    <t>36318-000</t>
  </si>
  <si>
    <t>12820-000</t>
  </si>
  <si>
    <t>12820-970</t>
  </si>
  <si>
    <t>PTM</t>
  </si>
  <si>
    <t>ARGENITA - IBIA</t>
  </si>
  <si>
    <t>38955-000</t>
  </si>
  <si>
    <t>ARGOLO - NOVA VICOSA</t>
  </si>
  <si>
    <t>45925-000</t>
  </si>
  <si>
    <t>ARIBICE - EUCLIDES DA CUNHA</t>
  </si>
  <si>
    <t>48504-000</t>
  </si>
  <si>
    <t>ARIRANHA DO IVAI</t>
  </si>
  <si>
    <t>86880-000</t>
  </si>
  <si>
    <t>ARISTIDES BATISTA - CORACAO DE JESUS</t>
  </si>
  <si>
    <t>39341-000</t>
  </si>
  <si>
    <t>ARITAGUA - ILHEUS</t>
  </si>
  <si>
    <t>45663-000</t>
  </si>
  <si>
    <t>ARROIO DO PADRE</t>
  </si>
  <si>
    <t>96155-000</t>
  </si>
  <si>
    <t>ARROIO DO TIGRE</t>
  </si>
  <si>
    <t>96950-000</t>
  </si>
  <si>
    <t>ARROIO GRANDE</t>
  </si>
  <si>
    <t>96330-000</t>
  </si>
  <si>
    <t>99455-000</t>
  </si>
  <si>
    <t>ASCENCAO - PARA DE MINAS</t>
  </si>
  <si>
    <t>35665-000</t>
  </si>
  <si>
    <t>ASSARAI - POCRANE</t>
  </si>
  <si>
    <t>36966-000</t>
  </si>
  <si>
    <t>39219-000</t>
  </si>
  <si>
    <t>39219-970</t>
  </si>
  <si>
    <t>AVAI DO JACINTO - JACINTO</t>
  </si>
  <si>
    <t>39931-000</t>
  </si>
  <si>
    <t>AZURITA - MATEUS LEME</t>
  </si>
  <si>
    <t>35672-000</t>
  </si>
  <si>
    <t>PSW</t>
  </si>
  <si>
    <t>BABILONIA - DELFINOPOLIS</t>
  </si>
  <si>
    <t>37915-000</t>
  </si>
  <si>
    <t>BACAO - ITABIRITO</t>
  </si>
  <si>
    <t>35453-000</t>
  </si>
  <si>
    <t>47830-000</t>
  </si>
  <si>
    <t>47830-970</t>
  </si>
  <si>
    <t>BAIOES - FORMIGA</t>
  </si>
  <si>
    <t>35575-000</t>
  </si>
  <si>
    <t>35579-200</t>
  </si>
  <si>
    <t>BAIXA - UBERABA</t>
  </si>
  <si>
    <t>38101-000</t>
  </si>
  <si>
    <t>BAIXA QUENTE - MINAS NOVAS</t>
  </si>
  <si>
    <t>39652-000</t>
  </si>
  <si>
    <t>BAIXINHA - UBAIRA</t>
  </si>
  <si>
    <t>45313-000</t>
  </si>
  <si>
    <t>BALBINOPOLIS - BERTOPOLIS</t>
  </si>
  <si>
    <t>39877-000</t>
  </si>
  <si>
    <t>BALUARTE - PILAO ARCADO</t>
  </si>
  <si>
    <t>47270-000</t>
  </si>
  <si>
    <t>BANCO CENTRAL - ILHEUS</t>
  </si>
  <si>
    <t>45673-000</t>
  </si>
  <si>
    <t>BANDEIRANTES - MARIANA</t>
  </si>
  <si>
    <t>35423-000</t>
  </si>
  <si>
    <t>BANDIACU - CONCEICAO DO COITE</t>
  </si>
  <si>
    <t>48745-000</t>
  </si>
  <si>
    <t>BARAO DO TRIUNFO</t>
  </si>
  <si>
    <t>96735-000</t>
  </si>
  <si>
    <t>BARRA ALEGRE - IPATINGA</t>
  </si>
  <si>
    <t>35165-000</t>
  </si>
  <si>
    <t>BARRA DA FIGUEIRA - POCRANE</t>
  </si>
  <si>
    <t>36963-000</t>
  </si>
  <si>
    <t>36963-971</t>
  </si>
  <si>
    <t>18325-000</t>
  </si>
  <si>
    <t>BARRA DO GUARITA</t>
  </si>
  <si>
    <t>98530-000</t>
  </si>
  <si>
    <t>BARRA DO RIO AZUL</t>
  </si>
  <si>
    <t>99795-000</t>
  </si>
  <si>
    <t>BARRA DO TARRACHIL - CHORROCHO</t>
  </si>
  <si>
    <t>48668-000</t>
  </si>
  <si>
    <t>BARRA SECA - JAGUARE</t>
  </si>
  <si>
    <t>29954-000</t>
  </si>
  <si>
    <t>BARRACAO</t>
  </si>
  <si>
    <t>95370-000</t>
  </si>
  <si>
    <t>BARRANCO ALTO - ALFENAS</t>
  </si>
  <si>
    <t>37131-000</t>
  </si>
  <si>
    <t>BARREIRO BRANCO - CATUTI</t>
  </si>
  <si>
    <t>39526-700</t>
  </si>
  <si>
    <t>BARREIRO DA RAIZ - JANAUBA</t>
  </si>
  <si>
    <t>39442-000</t>
  </si>
  <si>
    <t>BARREIRO DO RIO VERDE - JANAUBA</t>
  </si>
  <si>
    <t>39441-000</t>
  </si>
  <si>
    <t>BARREIROS - RIACHAO DO JACUIPE</t>
  </si>
  <si>
    <t>44641-000</t>
  </si>
  <si>
    <t>JMV</t>
  </si>
  <si>
    <t>BARRETOS DE ALVINOPOLIS - ALVINOPOLIS</t>
  </si>
  <si>
    <t>35952-000</t>
  </si>
  <si>
    <t>BARROCAO - GRAO MOGOL</t>
  </si>
  <si>
    <t>39572-000</t>
  </si>
  <si>
    <t>BATINGA - ITANHEM</t>
  </si>
  <si>
    <t>45975-000</t>
  </si>
  <si>
    <t>BAU - ESTRELA DO INDAIA</t>
  </si>
  <si>
    <t>35615-000</t>
  </si>
  <si>
    <t>BELMIRO BRAGA</t>
  </si>
  <si>
    <t>36126-000</t>
  </si>
  <si>
    <t>BELO ORIENTE - TEOFILO OTONI</t>
  </si>
  <si>
    <t>39806-000</t>
  </si>
  <si>
    <t>BENJAMIN CONSTANT DO SUL</t>
  </si>
  <si>
    <t>99650-000</t>
  </si>
  <si>
    <t>BENTO SIMOES - IRARA</t>
  </si>
  <si>
    <t>44258-000</t>
  </si>
  <si>
    <t>BENTOPOLIS DE MINAS - UBAI</t>
  </si>
  <si>
    <t>39325-000</t>
  </si>
  <si>
    <t>BIAS FORTES</t>
  </si>
  <si>
    <t>36230-000</t>
  </si>
  <si>
    <t>BICUIBA - RAUL SOARES</t>
  </si>
  <si>
    <t>35352-000</t>
  </si>
  <si>
    <t>BITUPITA - BARROQUINHA</t>
  </si>
  <si>
    <t>62414-000</t>
  </si>
  <si>
    <t>BITURI - JECEABA</t>
  </si>
  <si>
    <t>35497-000</t>
  </si>
  <si>
    <t>BOA ESPERANCA</t>
  </si>
  <si>
    <t>87390-000</t>
  </si>
  <si>
    <t>BOA VISTA DO INCRA</t>
  </si>
  <si>
    <t>98120-000</t>
  </si>
  <si>
    <t>BOA VISTA DO LAGAMAR - IBOTIRAMA</t>
  </si>
  <si>
    <t>47525-000</t>
  </si>
  <si>
    <t>BOA VISTA DO SUL</t>
  </si>
  <si>
    <t>95727-000</t>
  </si>
  <si>
    <t>BOCA DO CORREGO - BELMONTE</t>
  </si>
  <si>
    <t>45805-000</t>
  </si>
  <si>
    <t>BOM JESUS DA CACHOEIRA - MURIAE</t>
  </si>
  <si>
    <t>36892-000</t>
  </si>
  <si>
    <t>BOM JESUS DE CARDOSOS - URUCANIA</t>
  </si>
  <si>
    <t>35381-000</t>
  </si>
  <si>
    <t>BOM JESUS DO DIVINO - DIVINO</t>
  </si>
  <si>
    <t>36825-000</t>
  </si>
  <si>
    <t>BOM JESUS DO MADEIRA - FERVEDOURO</t>
  </si>
  <si>
    <t>36817-000</t>
  </si>
  <si>
    <t>BOM RETIRO - SANTA BARBARA DO TUGURIO</t>
  </si>
  <si>
    <t>36218-000</t>
  </si>
  <si>
    <t>BOM SOSSEGO - OLIVEIRA DOS BREJINHOS</t>
  </si>
  <si>
    <t>47540-000</t>
  </si>
  <si>
    <t>18475-000</t>
  </si>
  <si>
    <t>BOM SUCESSO DE PATOS - PATOS DE MINAS</t>
  </si>
  <si>
    <t>38712-000</t>
  </si>
  <si>
    <t>BONANCA - IBIRACATU</t>
  </si>
  <si>
    <t>39456-000</t>
  </si>
  <si>
    <t>BONSUCESSO - APIACA</t>
  </si>
  <si>
    <t>29458-000</t>
  </si>
  <si>
    <t>BOQUEIRAO DO LEAO</t>
  </si>
  <si>
    <t>95920-000</t>
  </si>
  <si>
    <t>BORBA GATO - FERROS</t>
  </si>
  <si>
    <t>35803-000</t>
  </si>
  <si>
    <t>BOSSOROCA</t>
  </si>
  <si>
    <t>97850-000</t>
  </si>
  <si>
    <t>BRACO DO RIO - CONCEICAO DA BARRA</t>
  </si>
  <si>
    <t>29967-000</t>
  </si>
  <si>
    <t>BRASILANDIA DO SUL</t>
  </si>
  <si>
    <t>87595-000</t>
  </si>
  <si>
    <t>BREJAUBA - CONCEICAO DO MATO DENTRO</t>
  </si>
  <si>
    <t>35858-000</t>
  </si>
  <si>
    <t>BREJETUBA</t>
  </si>
  <si>
    <t>29630-000</t>
  </si>
  <si>
    <t>29635-990</t>
  </si>
  <si>
    <t>BREJO BONITO - CRUZEIRO DA FORTALEZA</t>
  </si>
  <si>
    <t>38738-000</t>
  </si>
  <si>
    <t>BREJO DO AMPARO - JANUARIA</t>
  </si>
  <si>
    <t>39482-000</t>
  </si>
  <si>
    <t>BREJO LUIZA DE BRITO - NOVO HORIZONTE</t>
  </si>
  <si>
    <t>46733-000</t>
  </si>
  <si>
    <t>BREJO NOVO - BOA VISTA DO TUPIM</t>
  </si>
  <si>
    <t>46855-000</t>
  </si>
  <si>
    <t>BUARQUE DE MACEDO - CONSELHEIRO LAFAIETE</t>
  </si>
  <si>
    <t>36413-000</t>
  </si>
  <si>
    <t>BUCUITUBA - BOQUIRA</t>
  </si>
  <si>
    <t>46535-000</t>
  </si>
  <si>
    <t>BURANHEM - GUARATINGA</t>
  </si>
  <si>
    <t>45845-000</t>
  </si>
  <si>
    <t>BURARAMA - CACHOEIRO DE ITAPEMIRIM</t>
  </si>
  <si>
    <t>29327-000</t>
  </si>
  <si>
    <t>18290-000</t>
  </si>
  <si>
    <t>BURIL - CRISOPOLIS</t>
  </si>
  <si>
    <t>48483-000</t>
  </si>
  <si>
    <t>CAATINGA - JOAO PINHEIRO</t>
  </si>
  <si>
    <t>38778-000</t>
  </si>
  <si>
    <t>38625-000</t>
  </si>
  <si>
    <t>38627-970</t>
  </si>
  <si>
    <t>CABRALIA - PIATA</t>
  </si>
  <si>
    <t>46768-000</t>
  </si>
  <si>
    <t>CABURU - SAO JOAO DEL REI</t>
  </si>
  <si>
    <t>36317-000</t>
  </si>
  <si>
    <t>CACARATIBA - TURMALINA</t>
  </si>
  <si>
    <t>39662-000</t>
  </si>
  <si>
    <t>CACHOEIRA ALEGRE - BARAO DE MONTE ALTO</t>
  </si>
  <si>
    <t>36876-000</t>
  </si>
  <si>
    <t>36876-970</t>
  </si>
  <si>
    <t>CACHOEIRA DO BRUMADO - MARIANA</t>
  </si>
  <si>
    <t>35424-000</t>
  </si>
  <si>
    <t>CACHOEIRA DO CAMPO - OURO PRETO</t>
  </si>
  <si>
    <t>35410-000</t>
  </si>
  <si>
    <t>CACHOEIRA DO MANTEIGA - BURITIZEIRO</t>
  </si>
  <si>
    <t>39288-000</t>
  </si>
  <si>
    <t>CACHOEIRA DO MATO - TEIXEIRA DE FREITAS</t>
  </si>
  <si>
    <t>45999-000</t>
  </si>
  <si>
    <t>CACHOEIRA DOS ANTUNES - RIO MANSO</t>
  </si>
  <si>
    <t>35487-000</t>
  </si>
  <si>
    <t>CACHOEIRINHA - CORREGO DANTA</t>
  </si>
  <si>
    <t>38995-000</t>
  </si>
  <si>
    <t>CACHOEIRINHA DE ITAUNA - BARRA DE SAO FRANCISCO</t>
  </si>
  <si>
    <t>29805-000</t>
  </si>
  <si>
    <t>CAETANO LOPES - JECEABA</t>
  </si>
  <si>
    <t>35499-000</t>
  </si>
  <si>
    <t>CAETE - PALMEIRAS</t>
  </si>
  <si>
    <t>46940-000</t>
  </si>
  <si>
    <t>46940-971</t>
  </si>
  <si>
    <t>CAFE - ALEGRE</t>
  </si>
  <si>
    <t>29515-000</t>
  </si>
  <si>
    <t>CAIAPO - PIRAPETINGA</t>
  </si>
  <si>
    <t>36735-000</t>
  </si>
  <si>
    <t>CAIMBE - EUCLIDES DA CUNHA</t>
  </si>
  <si>
    <t>48506-000</t>
  </si>
  <si>
    <t>CAIRU - MORRO DE SÃO PAULO(ILHA)</t>
  </si>
  <si>
    <t>45420-000</t>
  </si>
  <si>
    <t>CAIUBI - ITAPEBI</t>
  </si>
  <si>
    <t>45858-000</t>
  </si>
  <si>
    <t>CALDEIRAO - UAUA</t>
  </si>
  <si>
    <t>48955-000</t>
  </si>
  <si>
    <t>CAMARA - MUQUI</t>
  </si>
  <si>
    <t>29485-000</t>
  </si>
  <si>
    <t>CAMARGOS - MARIANA</t>
  </si>
  <si>
    <t>35427-000</t>
  </si>
  <si>
    <t>CAMASSANDI - JAGUARIPE</t>
  </si>
  <si>
    <t>44482-000</t>
  </si>
  <si>
    <t>CAMPESTRINHO - ANDRADAS</t>
  </si>
  <si>
    <t>37797-000</t>
  </si>
  <si>
    <t>CAMPINA DA LAGOA</t>
  </si>
  <si>
    <t>87345-000</t>
  </si>
  <si>
    <t>18245-000</t>
  </si>
  <si>
    <t>CAMPINA DO SIMAO</t>
  </si>
  <si>
    <t>85148-000</t>
  </si>
  <si>
    <t>CAMPO ALEGRE</t>
  </si>
  <si>
    <t>89294-000</t>
  </si>
  <si>
    <t>GVR</t>
  </si>
  <si>
    <t>CAMPO ALEGRE DE MINAS - IBIRACATU</t>
  </si>
  <si>
    <t>39457-000</t>
  </si>
  <si>
    <t>CAMPO REDONDO - ITAMONTE</t>
  </si>
  <si>
    <t>39452-000</t>
  </si>
  <si>
    <t>CAMPOLIDE - BARBACENA</t>
  </si>
  <si>
    <t>36223-000</t>
  </si>
  <si>
    <t>CAMPOS NOVOS PAULISTA</t>
  </si>
  <si>
    <t>19960-000</t>
  </si>
  <si>
    <t>CANABRAVA - FRANCISCO SA</t>
  </si>
  <si>
    <t>39581-000</t>
  </si>
  <si>
    <t>CANASTRAO - TIROS</t>
  </si>
  <si>
    <t>38890-000</t>
  </si>
  <si>
    <t>CANATIBA - MACAUBAS</t>
  </si>
  <si>
    <t>46510-000</t>
  </si>
  <si>
    <t>CANCHE - JEREMOABO</t>
  </si>
  <si>
    <t>48560-000</t>
  </si>
  <si>
    <t>CANDIDO DE ABREU</t>
  </si>
  <si>
    <t>84470-000</t>
  </si>
  <si>
    <t>CANDIOTA</t>
  </si>
  <si>
    <t>96483-000</t>
  </si>
  <si>
    <t>96495-000</t>
  </si>
  <si>
    <t>CANOEIROS - SAO GONCALO DO ABAETE</t>
  </si>
  <si>
    <t>38792-000</t>
  </si>
  <si>
    <t>44889-000</t>
  </si>
  <si>
    <t>48520-000</t>
  </si>
  <si>
    <t>CANUDOS DO VALE</t>
  </si>
  <si>
    <t>95933-000</t>
  </si>
  <si>
    <t>CAPAO - LAJE</t>
  </si>
  <si>
    <t>45495-000</t>
  </si>
  <si>
    <t>CAPAO DO CIPO</t>
  </si>
  <si>
    <t>97753-000</t>
  </si>
  <si>
    <t>CAPITANIA - MONTALVANIA</t>
  </si>
  <si>
    <t>39499-000</t>
  </si>
  <si>
    <t>CAPITAO</t>
  </si>
  <si>
    <t>95935-000</t>
  </si>
  <si>
    <t>39472-000</t>
  </si>
  <si>
    <t>39472-970</t>
  </si>
  <si>
    <t>CAPITAO ENEAS - SANTANA DA SERRA</t>
  </si>
  <si>
    <t>39474-000</t>
  </si>
  <si>
    <t>CAPITAO LEONIDAS MARQUES</t>
  </si>
  <si>
    <t>85790-000</t>
  </si>
  <si>
    <t>CAPORANGA - SANTA CRUZ DO RIO PARDO</t>
  </si>
  <si>
    <t>18915-000</t>
  </si>
  <si>
    <t>CARAIPE - SAO FELIPE</t>
  </si>
  <si>
    <t>44555-000</t>
  </si>
  <si>
    <t>CARAIVA - PORTO SEGURO</t>
  </si>
  <si>
    <t>45819-000</t>
  </si>
  <si>
    <t>CARIOCA - PARA DE MINAS</t>
  </si>
  <si>
    <t>35665-300</t>
  </si>
  <si>
    <t>CARIPARE - RIACHAO DAS NEVES</t>
  </si>
  <si>
    <t>47980-000</t>
  </si>
  <si>
    <t>CARLOS ALVES - SAO JOAO NEPOMUCENO</t>
  </si>
  <si>
    <t>36686-000</t>
  </si>
  <si>
    <t>CARLOS GOMES</t>
  </si>
  <si>
    <t>99825-000</t>
  </si>
  <si>
    <t>CASTELO NOVO- ILHEUS</t>
  </si>
  <si>
    <t>45667-000</t>
  </si>
  <si>
    <t>CATAGUARINO - CATAGUASES</t>
  </si>
  <si>
    <t>36779-000</t>
  </si>
  <si>
    <t>CATAJAS - SANTO ANTONIO DO JACINTO</t>
  </si>
  <si>
    <t>39937-000</t>
  </si>
  <si>
    <t>CATIARA - SERRA DO SALITRE</t>
  </si>
  <si>
    <t>38762-000</t>
  </si>
  <si>
    <t>CATUNE - TOMBOS</t>
  </si>
  <si>
    <t>36846-000</t>
  </si>
  <si>
    <t>CATUNI - FRANCISCO SA</t>
  </si>
  <si>
    <t>39585-000</t>
  </si>
  <si>
    <t>CELINA - ALEGRE</t>
  </si>
  <si>
    <t>29510-000</t>
  </si>
  <si>
    <t>CENTENARIO</t>
  </si>
  <si>
    <t>98313-000</t>
  </si>
  <si>
    <t>99838-000</t>
  </si>
  <si>
    <t>CENTENARIO - MUTUM</t>
  </si>
  <si>
    <t>36957-000</t>
  </si>
  <si>
    <t>CERRITO</t>
  </si>
  <si>
    <t>96395-000</t>
  </si>
  <si>
    <t>CERVO - BORDA DA MATA</t>
  </si>
  <si>
    <t>37565-000</t>
  </si>
  <si>
    <t>CHACARA</t>
  </si>
  <si>
    <t>36110-000</t>
  </si>
  <si>
    <t>36110-970</t>
  </si>
  <si>
    <t>CHAPADA DE MINAS - ESTRELA DO SUL</t>
  </si>
  <si>
    <t>38528-000</t>
  </si>
  <si>
    <t>CHAPEU DUVAS - JUIZ DE FORA</t>
  </si>
  <si>
    <t>36103-800</t>
  </si>
  <si>
    <t>CHARRUA</t>
  </si>
  <si>
    <t>99960-000</t>
  </si>
  <si>
    <t>CHAVESLANDIA - SANTA VITORIA</t>
  </si>
  <si>
    <t>38325-000</t>
  </si>
  <si>
    <t>CHIADOR</t>
  </si>
  <si>
    <t>36630-000</t>
  </si>
  <si>
    <t>CHUI</t>
  </si>
  <si>
    <t>96255-000</t>
  </si>
  <si>
    <t>CHUMBO - PATOS DE MINAS</t>
  </si>
  <si>
    <t>38713-000</t>
  </si>
  <si>
    <t>CISNEIROS - PALMA</t>
  </si>
  <si>
    <t>36753-000</t>
  </si>
  <si>
    <t>CLAUDIO MANUEL - MARIANA</t>
  </si>
  <si>
    <t>35429-000</t>
  </si>
  <si>
    <t>COCO - MOEDA</t>
  </si>
  <si>
    <t>35472-000</t>
  </si>
  <si>
    <t>COLINA</t>
  </si>
  <si>
    <t>14770-000</t>
  </si>
  <si>
    <t>COMERCIO - CONCEICAO DO ALMEIDA</t>
  </si>
  <si>
    <t>44545-000</t>
  </si>
  <si>
    <t>CONCEICAO DA IBITIPOCA - LIMA DUARTE</t>
  </si>
  <si>
    <t>36144-000</t>
  </si>
  <si>
    <t>CONCEICAO DE ITAGUA - BRUMADINHO</t>
  </si>
  <si>
    <t>35466-000</t>
  </si>
  <si>
    <t>CONCEICAO DE PIRACICABA - RIO PIRACICABA</t>
  </si>
  <si>
    <t>35943-000</t>
  </si>
  <si>
    <t>CONCEICAO DO FORMOSO - SANTOS DUMONT</t>
  </si>
  <si>
    <t>36248-000</t>
  </si>
  <si>
    <t>36248-970</t>
  </si>
  <si>
    <t>CONCEICAO DO MUQUI - MIMOSO DO SUL</t>
  </si>
  <si>
    <t>29410-000</t>
  </si>
  <si>
    <t>29410-983</t>
  </si>
  <si>
    <t>CONCEICAO DO RIO ACIMA - SANTA BARBARA</t>
  </si>
  <si>
    <t>35968-000</t>
  </si>
  <si>
    <t>CONCORDIA DE MUCURI - LADAINHA</t>
  </si>
  <si>
    <t>39826-000</t>
  </si>
  <si>
    <t>CONDADO DO NORTE - SAO JOAO DA PONTE</t>
  </si>
  <si>
    <t>39435-000</t>
  </si>
  <si>
    <t>CONEGO JOAO PIO - SAO DOMINGOS DO PRATA</t>
  </si>
  <si>
    <t>35993-000</t>
  </si>
  <si>
    <t>CONSELHEIRO MATA - DIAMANTINA</t>
  </si>
  <si>
    <t>39106-000</t>
  </si>
  <si>
    <t>39106-971</t>
  </si>
  <si>
    <t>COQUEIRO BAIXO</t>
  </si>
  <si>
    <t>95955-000</t>
  </si>
  <si>
    <t>CORDEIRO DE MINAS - CARATINGA</t>
  </si>
  <si>
    <t>35318-000</t>
  </si>
  <si>
    <t>CORONEL DOMINGOS SOARES</t>
  </si>
  <si>
    <t>85557-000</t>
  </si>
  <si>
    <t>18745-000</t>
  </si>
  <si>
    <t>CORONEL PILAR</t>
  </si>
  <si>
    <t>95726-000</t>
  </si>
  <si>
    <t>CORREGO DO BARRO - PARA DE MINAS</t>
  </si>
  <si>
    <t>35665-200</t>
  </si>
  <si>
    <t>CORREGO DO OURO - CAMPOS GERAIS</t>
  </si>
  <si>
    <t>37163-000</t>
  </si>
  <si>
    <t>CORREGO MOACYR AVIDOS - GOVERNADOR LINDENBERG</t>
  </si>
  <si>
    <t>29723-500</t>
  </si>
  <si>
    <t>CORREGOS - CONCEICAO DO MATO DENTRO</t>
  </si>
  <si>
    <t>35864-000</t>
  </si>
  <si>
    <t>CORREIA DE ALMEIDA - BARBACENA</t>
  </si>
  <si>
    <t>36208-000</t>
  </si>
  <si>
    <t>CORRENTINHO - GUANHAES</t>
  </si>
  <si>
    <t>39741-000</t>
  </si>
  <si>
    <t>CORTA MAO - AMARGOSA</t>
  </si>
  <si>
    <t>45301-000</t>
  </si>
  <si>
    <t>CORUMBATAI DO SUL</t>
  </si>
  <si>
    <t>86970-000</t>
  </si>
  <si>
    <t>COSTA SENA - CONCEICAO DO MATO DENTRO</t>
  </si>
  <si>
    <t>35859-000</t>
  </si>
  <si>
    <t>COSTAS - PARAISOPOLIS</t>
  </si>
  <si>
    <t>37665-000</t>
  </si>
  <si>
    <t>COSTAS DA MANTIQUEIRA - BARBACENA</t>
  </si>
  <si>
    <t>36206-000</t>
  </si>
  <si>
    <t>COTAXE - ECOPORANGA</t>
  </si>
  <si>
    <t>29855-000</t>
  </si>
  <si>
    <t>COTIPORA</t>
  </si>
  <si>
    <t>95335-000</t>
  </si>
  <si>
    <t>COUTOS - ILHEUS</t>
  </si>
  <si>
    <t>45664-000</t>
  </si>
  <si>
    <t>COXILHA</t>
  </si>
  <si>
    <t>99145-000</t>
  </si>
  <si>
    <t>CRISOLIA - OURO FINO</t>
  </si>
  <si>
    <t>37572-000</t>
  </si>
  <si>
    <t>CRISPIM JAQUES - TEOFILO OTONI</t>
  </si>
  <si>
    <t>39809-000</t>
  </si>
  <si>
    <t>CRISTAL DO NORTE - PEDRO CANARIO</t>
  </si>
  <si>
    <t>29978-000</t>
  </si>
  <si>
    <t>29978-980</t>
  </si>
  <si>
    <t>CRUSSAI - CASTRO ALVES</t>
  </si>
  <si>
    <t>44505-000</t>
  </si>
  <si>
    <t>CRUZALTENSE</t>
  </si>
  <si>
    <t>99665-000</t>
  </si>
  <si>
    <t>CUBAS - FERROS</t>
  </si>
  <si>
    <t>35806-000</t>
  </si>
  <si>
    <t>CUMURUXATIBA - PRADO</t>
  </si>
  <si>
    <t>45983-000</t>
  </si>
  <si>
    <t>45983-971</t>
  </si>
  <si>
    <t>CUNHA - CAMPOS DE CUNHA</t>
  </si>
  <si>
    <t>12540-000</t>
  </si>
  <si>
    <t>CUNHANGI - JAGUARIPE</t>
  </si>
  <si>
    <t>44488-000</t>
  </si>
  <si>
    <t>CURIMATAI - BUENOPOLIS</t>
  </si>
  <si>
    <t>39235-000</t>
  </si>
  <si>
    <t>CURRAL NOVO DE MINAS - ANTONIO CARLOS</t>
  </si>
  <si>
    <t>36222-000</t>
  </si>
  <si>
    <t>CURUPA - TABATINGA</t>
  </si>
  <si>
    <t>14915-000</t>
  </si>
  <si>
    <t>DELFINOPOLIS</t>
  </si>
  <si>
    <t>37910-000</t>
  </si>
  <si>
    <t>37910-970</t>
  </si>
  <si>
    <t>DESEMBARGADOR OTONI - DIAMANTINA</t>
  </si>
  <si>
    <t>39113-000</t>
  </si>
  <si>
    <t>DESEMBOQUE - SACRAMENTO</t>
  </si>
  <si>
    <t>38193-000</t>
  </si>
  <si>
    <t>38193-970</t>
  </si>
  <si>
    <t>DEZESSEIS DE NOVEMBRO</t>
  </si>
  <si>
    <t>97845-000</t>
  </si>
  <si>
    <t>DIAMANTE D OESTE</t>
  </si>
  <si>
    <t>85896-000</t>
  </si>
  <si>
    <t>DIAMANTE DE UBA - UBA</t>
  </si>
  <si>
    <t>36506-000</t>
  </si>
  <si>
    <t>36509-970</t>
  </si>
  <si>
    <t>DIAMANTE DO SUL</t>
  </si>
  <si>
    <t>85408-000</t>
  </si>
  <si>
    <t>DIAS - BRASOPOLIS</t>
  </si>
  <si>
    <t>37532-000</t>
  </si>
  <si>
    <t>DIAS TAVARES - JUIZ DE FORA</t>
  </si>
  <si>
    <t>36105-000</t>
  </si>
  <si>
    <t>DIOGENES SAMPAIO - AMARGOSA</t>
  </si>
  <si>
    <t>45302-000</t>
  </si>
  <si>
    <t>DIVINO DE SAO LOURENCO</t>
  </si>
  <si>
    <t>29590-000</t>
  </si>
  <si>
    <t>29590-972</t>
  </si>
  <si>
    <t>DIVINO ESPIRITO SANTO - ALTEROSA</t>
  </si>
  <si>
    <t>37147-000</t>
  </si>
  <si>
    <t>DOIS DE ABRIL - PALMOPOLIS</t>
  </si>
  <si>
    <t>39948-000</t>
  </si>
  <si>
    <t>DOIS LAJEADOS</t>
  </si>
  <si>
    <t>99220-000</t>
  </si>
  <si>
    <t>DOM LARA - CARATINGA</t>
  </si>
  <si>
    <t>35314-000</t>
  </si>
  <si>
    <t>DOM MODESTO - CARATINGA</t>
  </si>
  <si>
    <t>35313-000</t>
  </si>
  <si>
    <t>DONA AMERICA - MIMOSO DO SUL</t>
  </si>
  <si>
    <t>29445-000</t>
  </si>
  <si>
    <t>DONA MARIA - OLINDINA</t>
  </si>
  <si>
    <t>48473-000</t>
  </si>
  <si>
    <t>DORES DA VITORIA - MIRAI</t>
  </si>
  <si>
    <t>36792-000</t>
  </si>
  <si>
    <t>DORES DO PARAIBUNA - SANTOS DUMONT</t>
  </si>
  <si>
    <t>36243-000</t>
  </si>
  <si>
    <t>DORES DO RIO PRETO</t>
  </si>
  <si>
    <t>29580-000</t>
  </si>
  <si>
    <t>29580-970</t>
  </si>
  <si>
    <t>DOURADINA</t>
  </si>
  <si>
    <t>87485-000</t>
  </si>
  <si>
    <t>DOURADINHO - MACHADO</t>
  </si>
  <si>
    <t>37755-000</t>
  </si>
  <si>
    <t>DOUTOR LUND - PEDRO LEOPOLDO</t>
  </si>
  <si>
    <t>33650-000</t>
  </si>
  <si>
    <t>DUAS BARRAS - ICONHA</t>
  </si>
  <si>
    <t>29283-000</t>
  </si>
  <si>
    <t>EMBOABAS - SAO JOAO DEL REI</t>
  </si>
  <si>
    <t>36319-000</t>
  </si>
  <si>
    <t>ENCRUZILHADA DO SUL</t>
  </si>
  <si>
    <t>96610-000</t>
  </si>
  <si>
    <t>ENGENHEIRO CORREIA - OURO PRETO</t>
  </si>
  <si>
    <t>35416-000</t>
  </si>
  <si>
    <t>ENGENHEIRO DOLABELA - BOCAIUVA</t>
  </si>
  <si>
    <t>39395-000</t>
  </si>
  <si>
    <t>39363-000</t>
  </si>
  <si>
    <t>39363-970</t>
  </si>
  <si>
    <t>ENGENHEIRO SCHNOOR - ARACUAI</t>
  </si>
  <si>
    <t>39602-000</t>
  </si>
  <si>
    <t>ENGENHO NOVO - MAR DE ESPANHA</t>
  </si>
  <si>
    <t>36643-000</t>
  </si>
  <si>
    <t>ENGENHO VELHO</t>
  </si>
  <si>
    <t>99698-000</t>
  </si>
  <si>
    <t>EPAMINONDAS OTONI - CARLOS CHAGAS</t>
  </si>
  <si>
    <t>39866-000</t>
  </si>
  <si>
    <t>ERMIDINHA - MONTES CLAROS</t>
  </si>
  <si>
    <t>39410-000</t>
  </si>
  <si>
    <t>ESMERALDAS DE FERROS - FERROS</t>
  </si>
  <si>
    <t>35804-000</t>
  </si>
  <si>
    <t>ESTEIOS - LUZ</t>
  </si>
  <si>
    <t>35596-000</t>
  </si>
  <si>
    <t>ESTEVAO DE ARAUJO - ARAPONGA</t>
  </si>
  <si>
    <t>36596-000</t>
  </si>
  <si>
    <t>ESTRELA DA BARRA - CARNEIRINHO</t>
  </si>
  <si>
    <t>38294-000</t>
  </si>
  <si>
    <t>ESTRELA DE JORDANIA - JORDANIA</t>
  </si>
  <si>
    <t>39923-000</t>
  </si>
  <si>
    <t>ESTRELA DO NORTE - CASTELO</t>
  </si>
  <si>
    <t>29367-000</t>
  </si>
  <si>
    <t>ESTRELA VELHA</t>
  </si>
  <si>
    <t>96990-000</t>
  </si>
  <si>
    <t>EUXENITA - SABINOPOLIS</t>
  </si>
  <si>
    <t>39751-000</t>
  </si>
  <si>
    <t>EXTRACAO - DIAMANTINA</t>
  </si>
  <si>
    <t>39105-000</t>
  </si>
  <si>
    <t>FAGUNDES VARELA</t>
  </si>
  <si>
    <t>95333-000</t>
  </si>
  <si>
    <t>FARIAS - GUANHAES</t>
  </si>
  <si>
    <t>39744-000</t>
  </si>
  <si>
    <t>18870-000</t>
  </si>
  <si>
    <t>18879-899</t>
  </si>
  <si>
    <t>FARTURA - SAO GABRIEL DA PALHA</t>
  </si>
  <si>
    <t>29783-000</t>
  </si>
  <si>
    <t>FAXINALZINHO</t>
  </si>
  <si>
    <t>99655-000</t>
  </si>
  <si>
    <t>FAZENDA GUANDU - AFONSO CLAUDIO</t>
  </si>
  <si>
    <t>29609-000</t>
  </si>
  <si>
    <t>FECHADOS - SANTANA DE PIRAPAMA</t>
  </si>
  <si>
    <t>35788-000</t>
  </si>
  <si>
    <t>46446-000</t>
  </si>
  <si>
    <t>FEIRA NOVA</t>
  </si>
  <si>
    <t>49670-000</t>
  </si>
  <si>
    <t>FELICINA - ACUCENA</t>
  </si>
  <si>
    <t>35147-200</t>
  </si>
  <si>
    <t>FERNAO DIAS - BRASILIA DE MINAS</t>
  </si>
  <si>
    <t>39334-000</t>
  </si>
  <si>
    <t>FERREIRAS - SAO GONCALO DO SAPUCAI</t>
  </si>
  <si>
    <t>37493-000</t>
  </si>
  <si>
    <t>FERREIROPOLIS - SALINAS</t>
  </si>
  <si>
    <t>39562-000</t>
  </si>
  <si>
    <t>FIDALGO - PEDRO LEOPOLDO</t>
  </si>
  <si>
    <t>33620-000</t>
  </si>
  <si>
    <t>FIDELANDIA - ATALEIA</t>
  </si>
  <si>
    <t>39851-000</t>
  </si>
  <si>
    <t>FLOR DE MINAS - GURINHATA</t>
  </si>
  <si>
    <t>38315-000</t>
  </si>
  <si>
    <t>38315-970</t>
  </si>
  <si>
    <t>FLORESTINA - ARAGUARI</t>
  </si>
  <si>
    <t>38450-000</t>
  </si>
  <si>
    <t>FONSECA - ALVINOPOLIS</t>
  </si>
  <si>
    <t>35955-000</t>
  </si>
  <si>
    <t>FRANCISCO ALVES</t>
  </si>
  <si>
    <t>87570-000</t>
  </si>
  <si>
    <t>FREI EUSTAQUIO - COQUEIRAL</t>
  </si>
  <si>
    <t>37237-000</t>
  </si>
  <si>
    <t>FREI ORLANDO - MORADA NOVA DE MINAS</t>
  </si>
  <si>
    <t>35629-000</t>
  </si>
  <si>
    <t>FREI SERAFIM - ITAMBACURI</t>
  </si>
  <si>
    <t>39832-000</t>
  </si>
  <si>
    <t>39870-000</t>
  </si>
  <si>
    <t>FUNCHAL - SAO GOTARDO</t>
  </si>
  <si>
    <t>38802-000</t>
  </si>
  <si>
    <t>FURQUIM - MARIANA</t>
  </si>
  <si>
    <t>35426-000</t>
  </si>
  <si>
    <t>GABIARRA - EUNAPOLIS</t>
  </si>
  <si>
    <t>45833-000</t>
  </si>
  <si>
    <t>GALEGO - BARBACENA</t>
  </si>
  <si>
    <t>36206-100</t>
  </si>
  <si>
    <t>GALENA - PRESIDENTE OLEGARIO</t>
  </si>
  <si>
    <t>38753-000</t>
  </si>
  <si>
    <t>GAMA - ACUCENA</t>
  </si>
  <si>
    <t>35147-300</t>
  </si>
  <si>
    <t>GARAPUAVA - UNAI</t>
  </si>
  <si>
    <t>38615-000</t>
  </si>
  <si>
    <t>GARRAFAO - SANTA MARIA DE JETIBA</t>
  </si>
  <si>
    <t>29649-000</t>
  </si>
  <si>
    <t>GAVIAO - EUGENOPOLIS</t>
  </si>
  <si>
    <t>36858-000</t>
  </si>
  <si>
    <t>GENERAL MAYNARD</t>
  </si>
  <si>
    <t>49750-000</t>
  </si>
  <si>
    <t>GLAURA - OURO PRETO</t>
  </si>
  <si>
    <t>35408-000</t>
  </si>
  <si>
    <t>GLORIA DE CATAGUASES - CATAGUASES</t>
  </si>
  <si>
    <t>36776-500</t>
  </si>
  <si>
    <t>GLUCINIO - SANTA MARIA DO SUACUI</t>
  </si>
  <si>
    <t>39782-000</t>
  </si>
  <si>
    <t>GODOY MOREIRA</t>
  </si>
  <si>
    <t>86938-000</t>
  </si>
  <si>
    <t>GOIANASES - CAPETINGA</t>
  </si>
  <si>
    <t>37994-000</t>
  </si>
  <si>
    <t>GOIOXIM</t>
  </si>
  <si>
    <t>85162-000</t>
  </si>
  <si>
    <t>GOROROS - DOM JOAQUIM</t>
  </si>
  <si>
    <t>35868-000</t>
  </si>
  <si>
    <t>GORUTUBA - PORTEIRINHA</t>
  </si>
  <si>
    <t>39522-500</t>
  </si>
  <si>
    <t>GOVERNADOR LACERDA DE AGUIAR - AGUA DOCE DO NORTE</t>
  </si>
  <si>
    <t>29826-000</t>
  </si>
  <si>
    <t>GRAMADO XAVIER</t>
  </si>
  <si>
    <t>96875-000</t>
  </si>
  <si>
    <t>GRAMINEA - ANDRADAS</t>
  </si>
  <si>
    <t>37796-000</t>
  </si>
  <si>
    <t>GRANADA - ABRE CAMPO</t>
  </si>
  <si>
    <t>35365-700</t>
  </si>
  <si>
    <t>GRANDES RIOS</t>
  </si>
  <si>
    <t>86845-000</t>
  </si>
  <si>
    <t>GROTA - JEQUERI</t>
  </si>
  <si>
    <t>35395-000</t>
  </si>
  <si>
    <t>GUAI - MARAGOGIPE</t>
  </si>
  <si>
    <t>44423-000</t>
  </si>
  <si>
    <t>GUAICUI - VARZEA DA PALMA</t>
  </si>
  <si>
    <t>39265-000</t>
  </si>
  <si>
    <t>GUAIPAVA - PARAGUACU</t>
  </si>
  <si>
    <t>37125-000</t>
  </si>
  <si>
    <t>GUAMIRANGA</t>
  </si>
  <si>
    <t>84435-000</t>
  </si>
  <si>
    <t>18310-000</t>
  </si>
  <si>
    <t>GUAPIRA - MARAGOGIPE</t>
  </si>
  <si>
    <t>44425-000</t>
  </si>
  <si>
    <t>GUAPOREMA</t>
  </si>
  <si>
    <t>87810-000</t>
  </si>
  <si>
    <t>87810-970</t>
  </si>
  <si>
    <t>GUARANILANDIA - JEQUITINHONHA</t>
  </si>
  <si>
    <t>39965-000</t>
  </si>
  <si>
    <t>GUARAQUECABA</t>
  </si>
  <si>
    <t>83390-000</t>
  </si>
  <si>
    <t>GUARAREMA - NOVA VENECIA</t>
  </si>
  <si>
    <t>29842-000</t>
  </si>
  <si>
    <t>GUARDINHA - SAO SEBASTIAO DO PARAISO</t>
  </si>
  <si>
    <t>37952-000</t>
  </si>
  <si>
    <t>GUAXIMA - CONQUISTA</t>
  </si>
  <si>
    <t>38198-000</t>
  </si>
  <si>
    <t>GUINDA - DIAMANTINA</t>
  </si>
  <si>
    <t>39103-000</t>
  </si>
  <si>
    <t>GUINE - MUCUGE</t>
  </si>
  <si>
    <t>46753-000</t>
  </si>
  <si>
    <t>HEMATITA - ANTONIO DIAS</t>
  </si>
  <si>
    <t>35178-000</t>
  </si>
  <si>
    <t>HERMILO ALVES - CARANDAI</t>
  </si>
  <si>
    <t>36285-000</t>
  </si>
  <si>
    <t>HERVAL</t>
  </si>
  <si>
    <t>96310-000</t>
  </si>
  <si>
    <t>HERVEIRAS</t>
  </si>
  <si>
    <t>96888-000</t>
  </si>
  <si>
    <t>HONORIO SERPA</t>
  </si>
  <si>
    <t>85548-000</t>
  </si>
  <si>
    <t>HULHA NEGRA</t>
  </si>
  <si>
    <t>96460-000</t>
  </si>
  <si>
    <t>HUMAITA - JUIZ DE FORA</t>
  </si>
  <si>
    <t>36107-800</t>
  </si>
  <si>
    <t>IARAS</t>
  </si>
  <si>
    <t>18775-000</t>
  </si>
  <si>
    <t>18775-970</t>
  </si>
  <si>
    <t>39350-000</t>
  </si>
  <si>
    <t>IBIAPORA - MUNDO NOVO</t>
  </si>
  <si>
    <t>44825-000</t>
  </si>
  <si>
    <t>IBICABA - AFONSO CLAUDIO</t>
  </si>
  <si>
    <t>29612-000</t>
  </si>
  <si>
    <t>IBIPETUM - IPUPIARA</t>
  </si>
  <si>
    <t>47595-000</t>
  </si>
  <si>
    <t>47595-970</t>
  </si>
  <si>
    <t>IBIRAJA - ITANHEM</t>
  </si>
  <si>
    <t>45972-000</t>
  </si>
  <si>
    <t>IBIRANHEM - MUCURI</t>
  </si>
  <si>
    <t>45938-000</t>
  </si>
  <si>
    <t>IBITUBA - BAIXO GUANDU</t>
  </si>
  <si>
    <t>29740-000</t>
  </si>
  <si>
    <t>IBO - ABARE</t>
  </si>
  <si>
    <t>48685-000</t>
  </si>
  <si>
    <t>IBUGUACU - GRANJA</t>
  </si>
  <si>
    <t>62448-000</t>
  </si>
  <si>
    <t>ICARAI - AMONTADA</t>
  </si>
  <si>
    <t>62545-000</t>
  </si>
  <si>
    <t>ICARAIMA</t>
  </si>
  <si>
    <t>87530-000</t>
  </si>
  <si>
    <t>IEPE</t>
  </si>
  <si>
    <t>19640-000</t>
  </si>
  <si>
    <t>IGUATU</t>
  </si>
  <si>
    <t>85423-000</t>
  </si>
  <si>
    <t>ILHA DO RIO DOCE - CARATINGA</t>
  </si>
  <si>
    <t>35317-000</t>
  </si>
  <si>
    <t>ILHABELA</t>
  </si>
  <si>
    <t>11630-000</t>
  </si>
  <si>
    <t>11630-970</t>
  </si>
  <si>
    <t>IMBURANA - ECOPORANGA</t>
  </si>
  <si>
    <t>29853-000</t>
  </si>
  <si>
    <t>INACIO MARTINS</t>
  </si>
  <si>
    <t>85155-000</t>
  </si>
  <si>
    <t>INAJA</t>
  </si>
  <si>
    <t>87670-000</t>
  </si>
  <si>
    <t>INEMA - ILHEUS</t>
  </si>
  <si>
    <t>45669-000</t>
  </si>
  <si>
    <t>INHAI - DIAMANTINA</t>
  </si>
  <si>
    <t>39111-000</t>
  </si>
  <si>
    <t>INHATA - AMELIA RODRIGUES</t>
  </si>
  <si>
    <t>44235-000</t>
  </si>
  <si>
    <t>INUBIA - PIATA</t>
  </si>
  <si>
    <t>46766-000</t>
  </si>
  <si>
    <t>18950-000</t>
  </si>
  <si>
    <t>18959-899</t>
  </si>
  <si>
    <t>IPIRANGA</t>
  </si>
  <si>
    <t>83729-300</t>
  </si>
  <si>
    <t>84450-000</t>
  </si>
  <si>
    <t>IPOEMA - ITABIRA</t>
  </si>
  <si>
    <t>35905-000</t>
  </si>
  <si>
    <t>35905-970</t>
  </si>
  <si>
    <t>18330-000</t>
  </si>
  <si>
    <t>IPUCABA - OLIVEIRA DOS BREJINHOS</t>
  </si>
  <si>
    <t>47550-000</t>
  </si>
  <si>
    <t>47590-000</t>
  </si>
  <si>
    <t>47590-970</t>
  </si>
  <si>
    <t>IRETAMA</t>
  </si>
  <si>
    <t>87280-000</t>
  </si>
  <si>
    <t>ITA-AZUL - ITAMARAJU</t>
  </si>
  <si>
    <t>45838-000</t>
  </si>
  <si>
    <t>ITABAIANA - MUCURICI</t>
  </si>
  <si>
    <t>29884-000</t>
  </si>
  <si>
    <t>18440-000</t>
  </si>
  <si>
    <t>ITABI</t>
  </si>
  <si>
    <t>49870-000</t>
  </si>
  <si>
    <t>ITABOCA - SANTA RITA DE JACUTINGA</t>
  </si>
  <si>
    <t>36138-000</t>
  </si>
  <si>
    <t>39594-000</t>
  </si>
  <si>
    <t>39594-970</t>
  </si>
  <si>
    <t>ITACAVA - CORACAO DE MARIA</t>
  </si>
  <si>
    <t>44253-000</t>
  </si>
  <si>
    <t>ITACHAMA - AMARGOSA</t>
  </si>
  <si>
    <t>45303-000</t>
  </si>
  <si>
    <t>ITACI - CARMO DO RIO CLARO</t>
  </si>
  <si>
    <t>37155-000</t>
  </si>
  <si>
    <t>ITACOLOMI - CONCEICAO DO MATO DENTRO</t>
  </si>
  <si>
    <t>35861-000</t>
  </si>
  <si>
    <t>ITACU - ITAGUACU</t>
  </si>
  <si>
    <t>29697-000</t>
  </si>
  <si>
    <t>ITACURUBI</t>
  </si>
  <si>
    <t>97685-000</t>
  </si>
  <si>
    <t>97720-000</t>
  </si>
  <si>
    <t>ITAGUAJE</t>
  </si>
  <si>
    <t>86670-000</t>
  </si>
  <si>
    <t>18730-000</t>
  </si>
  <si>
    <t>18739-899</t>
  </si>
  <si>
    <t>ITAIA - FIRMINO ALVES</t>
  </si>
  <si>
    <t>45723-000</t>
  </si>
  <si>
    <t>ITAICI - MUNIZ FREIRE</t>
  </si>
  <si>
    <t>29388-000</t>
  </si>
  <si>
    <t>ITAIM - CACHOEIRA DE MINAS</t>
  </si>
  <si>
    <t>37546-000</t>
  </si>
  <si>
    <t>ITAIMBE - ITAGUACU</t>
  </si>
  <si>
    <t>29695-000</t>
  </si>
  <si>
    <t>ITAIPULANDIA</t>
  </si>
  <si>
    <t>85880-000</t>
  </si>
  <si>
    <t>ITAJUTIBA - INHAPIM</t>
  </si>
  <si>
    <t>35331-000</t>
  </si>
  <si>
    <t>ITAMARATI - AGUAS VERMELHAS</t>
  </si>
  <si>
    <t>39993-000</t>
  </si>
  <si>
    <t>ITAMIRA - PONTO BELO</t>
  </si>
  <si>
    <t>29889-000</t>
  </si>
  <si>
    <t>ITAMIRIM - ESPINOSA</t>
  </si>
  <si>
    <t>39515-000</t>
  </si>
  <si>
    <t>ITAMURI - MURIAE</t>
  </si>
  <si>
    <t>36886-000</t>
  </si>
  <si>
    <t>36892-973</t>
  </si>
  <si>
    <t>ITANHI - JANDAIRA</t>
  </si>
  <si>
    <t>48315-000</t>
  </si>
  <si>
    <t>18360-000</t>
  </si>
  <si>
    <t>ITAPERUNA - BARRA DE SAO FRANCISCO</t>
  </si>
  <si>
    <t>29812-000</t>
  </si>
  <si>
    <t>18385-000</t>
  </si>
  <si>
    <t>ITAPIRU - RUBIM</t>
  </si>
  <si>
    <t>39955-000</t>
  </si>
  <si>
    <t>ITAPIRUCU - PALMA</t>
  </si>
  <si>
    <t>36756-000</t>
  </si>
  <si>
    <t>18480-000</t>
  </si>
  <si>
    <t>ITAPUCA</t>
  </si>
  <si>
    <t>95983-000</t>
  </si>
  <si>
    <t>95997-000</t>
  </si>
  <si>
    <t>ITATI - ITORORO</t>
  </si>
  <si>
    <t>45714-000</t>
  </si>
  <si>
    <t>ITATIBA DO SUL</t>
  </si>
  <si>
    <t>99760-000</t>
  </si>
  <si>
    <t>ITATINGA</t>
  </si>
  <si>
    <t>18690-000</t>
  </si>
  <si>
    <t>18690-970</t>
  </si>
  <si>
    <t>ITAUNAS - CONCEICAO DA BARRA</t>
  </si>
  <si>
    <t>29965-000</t>
  </si>
  <si>
    <t>ITAUNINHA - SANTA MARIA DE ITABIRA</t>
  </si>
  <si>
    <t>35915-000</t>
  </si>
  <si>
    <t>ITERERE - WENCESLAU BRAZ</t>
  </si>
  <si>
    <t>37513-000</t>
  </si>
  <si>
    <t>ITIRA - ARACUAI</t>
  </si>
  <si>
    <t>39605-000</t>
  </si>
  <si>
    <t>ITUI - SAO JOAO NEPOMUCENO</t>
  </si>
  <si>
    <t>36684-000</t>
  </si>
  <si>
    <t>ITUPEVA - MEDEIROS NETO</t>
  </si>
  <si>
    <t>45968-000</t>
  </si>
  <si>
    <t>IVATUBA</t>
  </si>
  <si>
    <t>87130-000</t>
  </si>
  <si>
    <t>JABAQUARA - ANCHIETA</t>
  </si>
  <si>
    <t>29236-000</t>
  </si>
  <si>
    <t>29236-980</t>
  </si>
  <si>
    <t>JACARANDIRA - RESENDE COSTA</t>
  </si>
  <si>
    <t>36342-000</t>
  </si>
  <si>
    <t>JACARE - ITINGA</t>
  </si>
  <si>
    <t>39613-000</t>
  </si>
  <si>
    <t>JACUIZINHO</t>
  </si>
  <si>
    <t>99457-000</t>
  </si>
  <si>
    <t>96300-000</t>
  </si>
  <si>
    <t>JAGUARAO - JACINTO</t>
  </si>
  <si>
    <t>39933-000</t>
  </si>
  <si>
    <t>JAGUARITIRA - MALACACHETA</t>
  </si>
  <si>
    <t>39692-000</t>
  </si>
  <si>
    <t>39508-000</t>
  </si>
  <si>
    <t>39508-973</t>
  </si>
  <si>
    <t>JAPU - ILHEUS</t>
  </si>
  <si>
    <t>45665-000</t>
  </si>
  <si>
    <t>JARDIM OLINDA</t>
  </si>
  <si>
    <t>87690-000</t>
  </si>
  <si>
    <t>JARI</t>
  </si>
  <si>
    <t>98175-000</t>
  </si>
  <si>
    <t>JIJOCA DE JERICOACOARA</t>
  </si>
  <si>
    <t>62598-000</t>
  </si>
  <si>
    <t>62598-973</t>
  </si>
  <si>
    <t>JOACUBA - ECOPORANGA</t>
  </si>
  <si>
    <t>29860-000</t>
  </si>
  <si>
    <t>JOATUBA - LARANJA DA TERRA</t>
  </si>
  <si>
    <t>29617-000</t>
  </si>
  <si>
    <t>29617-983</t>
  </si>
  <si>
    <t>39920-000</t>
  </si>
  <si>
    <t>JOSE CARLOS - APIACA</t>
  </si>
  <si>
    <t>29455-000</t>
  </si>
  <si>
    <t>39642-000</t>
  </si>
  <si>
    <t>JOSELANDIA - SANTANA DOS MONTES</t>
  </si>
  <si>
    <t>36435-000</t>
  </si>
  <si>
    <t>JUBAI - CONQUISTA</t>
  </si>
  <si>
    <t>38196-000</t>
  </si>
  <si>
    <t>JUCURUCU</t>
  </si>
  <si>
    <t>45834-000</t>
  </si>
  <si>
    <t>JUNCO DE MINAS - MALACACHETA</t>
  </si>
  <si>
    <t>39693-500</t>
  </si>
  <si>
    <t>JUPAGUA - COTEGIPE</t>
  </si>
  <si>
    <t>47920-000</t>
  </si>
  <si>
    <t>JURAMA - VILA VALERIO</t>
  </si>
  <si>
    <t>29793-000</t>
  </si>
  <si>
    <t>JURANDA</t>
  </si>
  <si>
    <t>87355-000</t>
  </si>
  <si>
    <t>JUREIA - MONTE BELO</t>
  </si>
  <si>
    <t>37117-000</t>
  </si>
  <si>
    <t>JURUAIA</t>
  </si>
  <si>
    <t>37805-000</t>
  </si>
  <si>
    <t>JURUMIRIM - RIO CASCA</t>
  </si>
  <si>
    <t>35375-000</t>
  </si>
  <si>
    <t>39467-000</t>
  </si>
  <si>
    <t>39467-972</t>
  </si>
  <si>
    <t>LAGOA BONITA - CORDISBURGO</t>
  </si>
  <si>
    <t>35782-000</t>
  </si>
  <si>
    <t>LAGOA CLARA - MACAUBAS</t>
  </si>
  <si>
    <t>46520-000</t>
  </si>
  <si>
    <t>LAGOA FUNDA - GARARU</t>
  </si>
  <si>
    <t>49835-000</t>
  </si>
  <si>
    <t>LAGOA GRANDE DE MINAS NOVAS - MINAS NOVAS</t>
  </si>
  <si>
    <t>39654-000</t>
  </si>
  <si>
    <t>LAGOA SECA - VARJAO DE MINAS</t>
  </si>
  <si>
    <t>38799-000</t>
  </si>
  <si>
    <t>LAGOAO</t>
  </si>
  <si>
    <t>99340-000</t>
  </si>
  <si>
    <t>LAJINHA - PANCAS</t>
  </si>
  <si>
    <t>29755-000</t>
  </si>
  <si>
    <t>LAPINHA - LAGOA SANTA</t>
  </si>
  <si>
    <t>33450-000</t>
  </si>
  <si>
    <t>LARANJA DA TERRA</t>
  </si>
  <si>
    <t>29615-000</t>
  </si>
  <si>
    <t>29615-970</t>
  </si>
  <si>
    <t>LARANJAL</t>
  </si>
  <si>
    <t>85275-000</t>
  </si>
  <si>
    <t>LARANJEIRAS DE CALDAS - CALDAS</t>
  </si>
  <si>
    <t>37782-000</t>
  </si>
  <si>
    <t>LAVRAS DO SUL</t>
  </si>
  <si>
    <t>97390-000</t>
  </si>
  <si>
    <t>LAVRAS NOVAS - OURO PRETO</t>
  </si>
  <si>
    <t>35418-000</t>
  </si>
  <si>
    <t>46960-000</t>
  </si>
  <si>
    <t>46960-970</t>
  </si>
  <si>
    <t>LEVINOPOLIS - JANUARIA</t>
  </si>
  <si>
    <t>39485-000</t>
  </si>
  <si>
    <t>LIBERATO SALZANO</t>
  </si>
  <si>
    <t>99690-000</t>
  </si>
  <si>
    <t>LIMOEIRO - CASTELO</t>
  </si>
  <si>
    <t>29369-000</t>
  </si>
  <si>
    <t>LINDOESTE</t>
  </si>
  <si>
    <t>85826-000</t>
  </si>
  <si>
    <t>LOBO LEITE - CONGONHAS</t>
  </si>
  <si>
    <t>36419-000</t>
  </si>
  <si>
    <t>LUFA - NOVO CRUZEIRO</t>
  </si>
  <si>
    <t>39824-000</t>
  </si>
  <si>
    <t>LUIZ PIRES DE MINAS - CORACAO DE JESUS</t>
  </si>
  <si>
    <t>39344-000</t>
  </si>
  <si>
    <t>LUIZLANDIA DO OESTE - JOAO PINHEIRO</t>
  </si>
  <si>
    <t>38776-000</t>
  </si>
  <si>
    <t>LUMINOSA - BRASOPOLIS</t>
  </si>
  <si>
    <t>37535-000</t>
  </si>
  <si>
    <t>MACAIA - BOM SUCESSO</t>
  </si>
  <si>
    <t>37221-000</t>
  </si>
  <si>
    <t>MACAMBARA</t>
  </si>
  <si>
    <t>97645-000</t>
  </si>
  <si>
    <t>MACHADINHO</t>
  </si>
  <si>
    <t>99880-000</t>
  </si>
  <si>
    <t>MACUCO - MURIAE</t>
  </si>
  <si>
    <t>36891-500</t>
  </si>
  <si>
    <t>36892-976</t>
  </si>
  <si>
    <t>MACUCO DE MINAS - ITUMIRIM</t>
  </si>
  <si>
    <t>37212-000</t>
  </si>
  <si>
    <t>MAE DOS HOMENS - SAO SEBASTIAO DO MARANHAO</t>
  </si>
  <si>
    <t>39797-000</t>
  </si>
  <si>
    <t>MAJOR EZEQUIEL - ALVINOPOLIS</t>
  </si>
  <si>
    <t>35953-000</t>
  </si>
  <si>
    <t>MAJOR PORTO - PATOS DE MINAS</t>
  </si>
  <si>
    <t>38710-000</t>
  </si>
  <si>
    <t>MAMPITUBA</t>
  </si>
  <si>
    <t>95572-000</t>
  </si>
  <si>
    <t>39460-000</t>
  </si>
  <si>
    <t>39460-970</t>
  </si>
  <si>
    <t>MANOEL RIBAS</t>
  </si>
  <si>
    <t>85260-000</t>
  </si>
  <si>
    <t>47160-000</t>
  </si>
  <si>
    <t>MANTIQUEIRA - SANTOS DUMONT</t>
  </si>
  <si>
    <t>36242-000</t>
  </si>
  <si>
    <t>MANTIQUEIRA DO PALMITAL - BARBACENA</t>
  </si>
  <si>
    <t>36206-300</t>
  </si>
  <si>
    <t>36206-972</t>
  </si>
  <si>
    <t>MARAGOGIPINHO - ARATUIPE</t>
  </si>
  <si>
    <t>44495-000</t>
  </si>
  <si>
    <t>MARAMBAINHA - CARAI</t>
  </si>
  <si>
    <t>39813-000</t>
  </si>
  <si>
    <t>MARAU</t>
  </si>
  <si>
    <t>45520-000</t>
  </si>
  <si>
    <t>MARIANA PIMENTEL</t>
  </si>
  <si>
    <t>92900-000</t>
  </si>
  <si>
    <t>MARIANO MORO</t>
  </si>
  <si>
    <t>99790-000</t>
  </si>
  <si>
    <t>MARQUES DE SOUZA</t>
  </si>
  <si>
    <t>95923-000</t>
  </si>
  <si>
    <t>MARQUINHO</t>
  </si>
  <si>
    <t>85168-000</t>
  </si>
  <si>
    <t>MARTINS GUIMARAES - LAGOA DA PRATA</t>
  </si>
  <si>
    <t>35593-000</t>
  </si>
  <si>
    <t>39915-000</t>
  </si>
  <si>
    <t>39915-971</t>
  </si>
  <si>
    <t>39478-000</t>
  </si>
  <si>
    <t>MATO CASTELHANO</t>
  </si>
  <si>
    <t>99180-000</t>
  </si>
  <si>
    <t>MATO RICO</t>
  </si>
  <si>
    <t>85240-000</t>
  </si>
  <si>
    <t>MAXIMILIANO DE ALMEIDA</t>
  </si>
  <si>
    <t>99890-000</t>
  </si>
  <si>
    <t>MELO VIANA - ESMERALDAS</t>
  </si>
  <si>
    <t>35750-000</t>
  </si>
  <si>
    <t>MENDANHA - DIAMANTINA</t>
  </si>
  <si>
    <t>39101-000</t>
  </si>
  <si>
    <t>MENDONCA - VEREDINHA</t>
  </si>
  <si>
    <t>39664-000</t>
  </si>
  <si>
    <t>MENINO JESUS - MUNIZ FREIRE</t>
  </si>
  <si>
    <t>29384-000</t>
  </si>
  <si>
    <t>MERCES DE AGUA LIMPA - SAO TIAGO</t>
  </si>
  <si>
    <t>36352-000</t>
  </si>
  <si>
    <t>35116-000</t>
  </si>
  <si>
    <t>35116-970</t>
  </si>
  <si>
    <t>MESTRE CAETANO - SABARA</t>
  </si>
  <si>
    <t>34750-000</t>
  </si>
  <si>
    <t>MIGUEL BURNIER - OURO PRETO</t>
  </si>
  <si>
    <t>35414-000</t>
  </si>
  <si>
    <t>MILAGRE - MONTE SANTO DE MINAS</t>
  </si>
  <si>
    <t>37969-000</t>
  </si>
  <si>
    <t>MILHO VERDE - SERRO</t>
  </si>
  <si>
    <t>39155-000</t>
  </si>
  <si>
    <t>MIRADOR</t>
  </si>
  <si>
    <t>87840-000</t>
  </si>
  <si>
    <t>MIRAGAIA - UBA</t>
  </si>
  <si>
    <t>36507-000</t>
  </si>
  <si>
    <t>36509-200</t>
  </si>
  <si>
    <t>MIRALTA - MONTES CLAROS</t>
  </si>
  <si>
    <t>39415-000</t>
  </si>
  <si>
    <t>MIRANTAO - BOCAINA DE MINAS</t>
  </si>
  <si>
    <t>37345-000</t>
  </si>
  <si>
    <t>39465-000</t>
  </si>
  <si>
    <t>39465-972</t>
  </si>
  <si>
    <t>MISSIONARIO - ALTO RIO DOCE</t>
  </si>
  <si>
    <t>36262-000</t>
  </si>
  <si>
    <t>MOCAMBEIRO - MATOZINHOS</t>
  </si>
  <si>
    <t>35725-000</t>
  </si>
  <si>
    <t>MOCAMBINHO - PORTEIRINHA</t>
  </si>
  <si>
    <t>39524-000</t>
  </si>
  <si>
    <t>MOCAMBO - IBITIARA</t>
  </si>
  <si>
    <t>46720-000</t>
  </si>
  <si>
    <t>MONJOLINHO DE MINAS - LAGOA FORMOSA</t>
  </si>
  <si>
    <t>38722-000</t>
  </si>
  <si>
    <t>MONSENHOR HORTA - MARIANA</t>
  </si>
  <si>
    <t>35425-000</t>
  </si>
  <si>
    <t>MONSENHOR ISIDRO - ITAVERAVA</t>
  </si>
  <si>
    <t>36445-000</t>
  </si>
  <si>
    <t>MONSENHOR JOAO ALEXANDRE - CLAUDIO</t>
  </si>
  <si>
    <t>35532-000</t>
  </si>
  <si>
    <t>39495-000</t>
  </si>
  <si>
    <t>39498-970</t>
  </si>
  <si>
    <t>MONTAURI</t>
  </si>
  <si>
    <t>99255-000</t>
  </si>
  <si>
    <t>MONTE BELO DO SUL</t>
  </si>
  <si>
    <t>95718-000</t>
  </si>
  <si>
    <t>MONTE CARMELO DO RIO NOVO - ALTO RIO NOVO</t>
  </si>
  <si>
    <t>29767-000</t>
  </si>
  <si>
    <t>29767-980</t>
  </si>
  <si>
    <t>MONTE CELESTE - SAO GERALDO</t>
  </si>
  <si>
    <t>36532-000</t>
  </si>
  <si>
    <t>MONTE CRUZEIRO - ELISIO MEDRADO</t>
  </si>
  <si>
    <t>45306-000</t>
  </si>
  <si>
    <t>39893-000</t>
  </si>
  <si>
    <t>MONTE PIO - CASTELO</t>
  </si>
  <si>
    <t>29368-000</t>
  </si>
  <si>
    <t>MONTE REI - JUVENILIA</t>
  </si>
  <si>
    <t>39468-000</t>
  </si>
  <si>
    <t>MONTE SINAI - BARRA DE SAO FRANCISCO</t>
  </si>
  <si>
    <t>29807-000</t>
  </si>
  <si>
    <t>MONTE VERDE - JUIZ DE FORA</t>
  </si>
  <si>
    <t>36107-500</t>
  </si>
  <si>
    <t>39547-000</t>
  </si>
  <si>
    <t>MORELLO - GOVERNADOR LINDENBERG</t>
  </si>
  <si>
    <t>29723-000</t>
  </si>
  <si>
    <t>47580-000</t>
  </si>
  <si>
    <t>MORRO - SAO FRANCISCO</t>
  </si>
  <si>
    <t>39313-000</t>
  </si>
  <si>
    <t>MORRO DO FERRO - OLIVEIRA</t>
  </si>
  <si>
    <t>35541-000</t>
  </si>
  <si>
    <t>MUCURI - TEOFILO OTONI</t>
  </si>
  <si>
    <t>39809-800</t>
  </si>
  <si>
    <t>MULITERNO</t>
  </si>
  <si>
    <t>99990-000</t>
  </si>
  <si>
    <t>MUQUEM - MIRABELA</t>
  </si>
  <si>
    <t>39375-000</t>
  </si>
  <si>
    <t>47115-000</t>
  </si>
  <si>
    <t>47115-970</t>
  </si>
  <si>
    <t>NAQUE-NANUQUE - ACUCENA</t>
  </si>
  <si>
    <t>35147-600</t>
  </si>
  <si>
    <t>19220-000</t>
  </si>
  <si>
    <t>NATIVIDADE DA SERRA</t>
  </si>
  <si>
    <t>12180-000</t>
  </si>
  <si>
    <t>12190-970</t>
  </si>
  <si>
    <t>NAZARE DE MINAS - NEPOMUCENO</t>
  </si>
  <si>
    <t>37253-000</t>
  </si>
  <si>
    <t>NELSON DE SENA - SAO JOAO EVANGELISTA</t>
  </si>
  <si>
    <t>39706-000</t>
  </si>
  <si>
    <t>NEOLANDIA - ITAPECERICA</t>
  </si>
  <si>
    <t>35552-000</t>
  </si>
  <si>
    <t>NHANDUTIBA - MANGA</t>
  </si>
  <si>
    <t>39463-000</t>
  </si>
  <si>
    <t>NICOLAU VERGUEIRO</t>
  </si>
  <si>
    <t>99175-000</t>
  </si>
  <si>
    <t>NOVA ALEGRIA - ITAMARAJU</t>
  </si>
  <si>
    <t>45838-500</t>
  </si>
  <si>
    <t>NOVA ALIANCA DO IVAI</t>
  </si>
  <si>
    <t>87790-000</t>
  </si>
  <si>
    <t>NOVA ALVORADA</t>
  </si>
  <si>
    <t>95985-000</t>
  </si>
  <si>
    <t>NOVA AURORA</t>
  </si>
  <si>
    <t>85410-000</t>
  </si>
  <si>
    <t>NOVA BRESCIA</t>
  </si>
  <si>
    <t>95950-000</t>
  </si>
  <si>
    <t>NOVA CANTU</t>
  </si>
  <si>
    <t>87330-000</t>
  </si>
  <si>
    <t>NOVA ESPERANCA - MONTES CLAROS</t>
  </si>
  <si>
    <t>39414-000</t>
  </si>
  <si>
    <t>NOVA LIDICE - MEDEIROS NETO</t>
  </si>
  <si>
    <t>45965-000</t>
  </si>
  <si>
    <t>45965-970</t>
  </si>
  <si>
    <t>NOVA MINDA - JAPONVAR</t>
  </si>
  <si>
    <t>39335-700</t>
  </si>
  <si>
    <t>NOVA RAMADA</t>
  </si>
  <si>
    <t>98758-000</t>
  </si>
  <si>
    <t>NOVA TEBAS</t>
  </si>
  <si>
    <t>85250-000</t>
  </si>
  <si>
    <t>85250-970</t>
  </si>
  <si>
    <t>NOVILHONA - NOVO CRUZEIRO</t>
  </si>
  <si>
    <t>39821-000</t>
  </si>
  <si>
    <t>NOVO ACRE - IRAMAIA</t>
  </si>
  <si>
    <t>46775-000</t>
  </si>
  <si>
    <t>NOVO HORIZONTE - ATALEIA</t>
  </si>
  <si>
    <t>39853-000</t>
  </si>
  <si>
    <t>NOVO HORIZONTE - ECOPORANGA</t>
  </si>
  <si>
    <t>29852-000</t>
  </si>
  <si>
    <t>NOVO XINGU</t>
  </si>
  <si>
    <t>99687-000</t>
  </si>
  <si>
    <t>OCIDENTE - MUTUM</t>
  </si>
  <si>
    <t>36959-000</t>
  </si>
  <si>
    <t>OLEGARIO MACIEL - PIRANGUINHO</t>
  </si>
  <si>
    <t>37509-000</t>
  </si>
  <si>
    <t>OLHOS DAGUA DO OESTE - JOAO PINHEIRO</t>
  </si>
  <si>
    <t>38772-000</t>
  </si>
  <si>
    <t>OLHOS DAGUA DO SECO - IBITIARA</t>
  </si>
  <si>
    <t>46715-000</t>
  </si>
  <si>
    <t>OLHOS DAGUA DO SERAFIM - NOVO HORIZONTE</t>
  </si>
  <si>
    <t>46735-000</t>
  </si>
  <si>
    <t>OLIMPIO CAMPOS - SAO JOAO DA PONTE</t>
  </si>
  <si>
    <t>39433-000</t>
  </si>
  <si>
    <t>OURO VERDE DO OESTE</t>
  </si>
  <si>
    <t>85933-000</t>
  </si>
  <si>
    <t>15685-000</t>
  </si>
  <si>
    <t>PACIENCIA - PORTEIRINHA</t>
  </si>
  <si>
    <t>39524-500</t>
  </si>
  <si>
    <t>39524-972</t>
  </si>
  <si>
    <t>PACOTUBA - CACHOEIRO DE ITAPEMIRIM</t>
  </si>
  <si>
    <t>29323-000</t>
  </si>
  <si>
    <t>PADRE BRITO - BARBACENA</t>
  </si>
  <si>
    <t>36209-000</t>
  </si>
  <si>
    <t>PADRE FELISBERTO - AMPARO DA SERRA</t>
  </si>
  <si>
    <t>35445-000</t>
  </si>
  <si>
    <t>PADRE FIALHO - MATIPO</t>
  </si>
  <si>
    <t>35367-700</t>
  </si>
  <si>
    <t>PADRE JULIO MARIA - ALTO JEQUITIBA</t>
  </si>
  <si>
    <t>36978-000</t>
  </si>
  <si>
    <t>PADRE LINHARES - MASSAPE</t>
  </si>
  <si>
    <t>62146-000</t>
  </si>
  <si>
    <t>PADRE VIEGAS - MARIANA</t>
  </si>
  <si>
    <t>35422-000</t>
  </si>
  <si>
    <t>PADRE VIEIRA - VICOSA DO CEARA</t>
  </si>
  <si>
    <t>62315-000</t>
  </si>
  <si>
    <t>PAIM FILHO</t>
  </si>
  <si>
    <t>99850-000</t>
  </si>
  <si>
    <t>PAINEIRAS - ITAPEMIRIM</t>
  </si>
  <si>
    <t>29342-000</t>
  </si>
  <si>
    <t>PAIOLINHO - POCO FUNDO</t>
  </si>
  <si>
    <t>37758-000</t>
  </si>
  <si>
    <t>PALMEIRA - ITAGUACU</t>
  </si>
  <si>
    <t>29699-000</t>
  </si>
  <si>
    <t>PALMEIRAL - BOTELHOS</t>
  </si>
  <si>
    <t>37725-000</t>
  </si>
  <si>
    <t>PALMEIRINHA - UNAI</t>
  </si>
  <si>
    <t>38613-000</t>
  </si>
  <si>
    <t>PALMERINO - ALTO RIO NOVO</t>
  </si>
  <si>
    <t>29764-000</t>
  </si>
  <si>
    <t>PALMITAL DE MINAS - CABECEIRA GRANDE</t>
  </si>
  <si>
    <t>38627-000</t>
  </si>
  <si>
    <t>PALMITAL DOS CARVALHOS - SENHORA DOS REMEDIOS</t>
  </si>
  <si>
    <t>36278-000</t>
  </si>
  <si>
    <t>39945-000</t>
  </si>
  <si>
    <t>PANTANO - ESTIVA</t>
  </si>
  <si>
    <t>37543-000</t>
  </si>
  <si>
    <t>PARAGUAI - CAJURI</t>
  </si>
  <si>
    <t>36565-000</t>
  </si>
  <si>
    <t>PARAISO GARCIA - SANTA RITA DE IBITIPOCA</t>
  </si>
  <si>
    <t>36236-000</t>
  </si>
  <si>
    <t>PARANAPOEMA</t>
  </si>
  <si>
    <t>87680-000</t>
  </si>
  <si>
    <t>PARAZINHO - GRANJA</t>
  </si>
  <si>
    <t>62437-000</t>
  </si>
  <si>
    <t>PAREDAO DE MINAS - BURITIZEIRO</t>
  </si>
  <si>
    <t>39285-000</t>
  </si>
  <si>
    <t>PARQUE DURVAL DE BARROS - IBIRITE</t>
  </si>
  <si>
    <t>32440-000</t>
  </si>
  <si>
    <t>PASSA DEZ - BOM JESUS DO GALHO</t>
  </si>
  <si>
    <t>35343-000</t>
  </si>
  <si>
    <t>PASSAGEM DE MARIANA - MARIANA</t>
  </si>
  <si>
    <t>35421-000</t>
  </si>
  <si>
    <t>39378-000</t>
  </si>
  <si>
    <t>39378-972</t>
  </si>
  <si>
    <t>PAULA LIMA - JUIZ DE FORA</t>
  </si>
  <si>
    <t>36103-000</t>
  </si>
  <si>
    <t>PAULISTA - BARRA DE SAO FRANCISCO</t>
  </si>
  <si>
    <t>29815-000</t>
  </si>
  <si>
    <t>PE DO MORRO - PASSA QUATRO</t>
  </si>
  <si>
    <t>37462-000</t>
  </si>
  <si>
    <t>PEDRA ALTA - ARACI</t>
  </si>
  <si>
    <t>48767-000</t>
  </si>
  <si>
    <t>PEDRA CORRIDA</t>
  </si>
  <si>
    <t>35147-500</t>
  </si>
  <si>
    <t>PEDRA DO SINO - CARANDAI</t>
  </si>
  <si>
    <t>36282-000</t>
  </si>
  <si>
    <t>36282-971</t>
  </si>
  <si>
    <t>PEDRA GRANDE - ALMENARA</t>
  </si>
  <si>
    <t>39910-000</t>
  </si>
  <si>
    <t>PEDRA MENINA - ESPERA FELIZ</t>
  </si>
  <si>
    <t>39175-000</t>
  </si>
  <si>
    <t>PEDRAS ALTAS</t>
  </si>
  <si>
    <t>96487-000</t>
  </si>
  <si>
    <t>PEDRAS DE MARILANDIA - UNAI</t>
  </si>
  <si>
    <t>38618-000</t>
  </si>
  <si>
    <t>PEDRO OSORIO</t>
  </si>
  <si>
    <t>96360-000</t>
  </si>
  <si>
    <t>PEDRO VERSIANI - TEOFILO OTONI</t>
  </si>
  <si>
    <t>39809-300</t>
  </si>
  <si>
    <t>PENEDIA - CAETE</t>
  </si>
  <si>
    <t>34930-000</t>
  </si>
  <si>
    <t>PENHA LONGA - CHIADOR</t>
  </si>
  <si>
    <t>36635-000</t>
  </si>
  <si>
    <t>PENIDO - JUIZ DE FORA</t>
  </si>
  <si>
    <t>36106-800</t>
  </si>
  <si>
    <t>PEQUIA - IUNA</t>
  </si>
  <si>
    <t>29392-000</t>
  </si>
  <si>
    <t>PERDILANDIA - SANTA VITORIA</t>
  </si>
  <si>
    <t>38328-000</t>
  </si>
  <si>
    <t>PEREIRINHAS - DESTERRO DE ENTRE RIOS</t>
  </si>
  <si>
    <t>35492-000</t>
  </si>
  <si>
    <t>PERPETUO SOCORRO - BELO ORIENTE</t>
  </si>
  <si>
    <t>35196-000</t>
  </si>
  <si>
    <t>35196-972</t>
  </si>
  <si>
    <t>PESSOA ANTA - GRANJA</t>
  </si>
  <si>
    <t>62445-000</t>
  </si>
  <si>
    <t>PETUNIA - NOVA RESENDE</t>
  </si>
  <si>
    <t>37865-000</t>
  </si>
  <si>
    <t>PIABANHA - MARAU</t>
  </si>
  <si>
    <t>45525-000</t>
  </si>
  <si>
    <t>46134-000</t>
  </si>
  <si>
    <t>PIACATUBA - LEOPOLDINA</t>
  </si>
  <si>
    <t>36708-000</t>
  </si>
  <si>
    <t>PIACU - MUNIZ FREIRE</t>
  </si>
  <si>
    <t>29386-000</t>
  </si>
  <si>
    <t>PIAO - SANTA RITA DE CALDAS</t>
  </si>
  <si>
    <t>37776-000</t>
  </si>
  <si>
    <t>46765-000</t>
  </si>
  <si>
    <t>46766-971</t>
  </si>
  <si>
    <t>PIC SAGARANA - ARINOS</t>
  </si>
  <si>
    <t>38686-000</t>
  </si>
  <si>
    <t>PIEDADE DO PARAOPEBA - BRUMADINHO</t>
  </si>
  <si>
    <t>35464-000</t>
  </si>
  <si>
    <t>PILAR - PATOS DE MINAS</t>
  </si>
  <si>
    <t>38717-000</t>
  </si>
  <si>
    <t>PIMENTEIRA - ILHEUS</t>
  </si>
  <si>
    <t>45672-000</t>
  </si>
  <si>
    <t>PINDAIBAS - PATOS DE MINAS</t>
  </si>
  <si>
    <t>38715-000</t>
  </si>
  <si>
    <t>PINHAL DA SERRA</t>
  </si>
  <si>
    <t>95390-000</t>
  </si>
  <si>
    <t>PINHAL DE SAO BENTO</t>
  </si>
  <si>
    <t>85727-000</t>
  </si>
  <si>
    <t>PINHEIRINHOS - PASSA QUATRO</t>
  </si>
  <si>
    <t>37461-000</t>
  </si>
  <si>
    <t>PINHEIRO GROSSO - BARBACENA</t>
  </si>
  <si>
    <t>36207-500</t>
  </si>
  <si>
    <t>PINHEIRO MACHADO</t>
  </si>
  <si>
    <t>96470-000</t>
  </si>
  <si>
    <t>97990-000</t>
  </si>
  <si>
    <t>PINHEIROS ALTOS - PIRANGA</t>
  </si>
  <si>
    <t>36490-000</t>
  </si>
  <si>
    <t>PINHOTIBA - EUGENOPOLIS</t>
  </si>
  <si>
    <t>36857-000</t>
  </si>
  <si>
    <t>PINTO BANDEIRA</t>
  </si>
  <si>
    <t>95717-000</t>
  </si>
  <si>
    <t>PINTOS NEGREIROS - MARIA DA FE</t>
  </si>
  <si>
    <t>37518-000</t>
  </si>
  <si>
    <t>PIRACAIBA - ARAGUARI</t>
  </si>
  <si>
    <t>38452-000</t>
  </si>
  <si>
    <t>PIRACEMA - AFONSO CLAUDIO</t>
  </si>
  <si>
    <t>29607-000</t>
  </si>
  <si>
    <t>29607-980</t>
  </si>
  <si>
    <t>PIRAGI - ITAMARAJU</t>
  </si>
  <si>
    <t>45837-500</t>
  </si>
  <si>
    <t>PIRAJA - ITAMARAJU</t>
  </si>
  <si>
    <t>45837-000</t>
  </si>
  <si>
    <t>PIRANGUITA - RIO ESPERA</t>
  </si>
  <si>
    <t>36462-000</t>
  </si>
  <si>
    <t>PIRAPANEMA - MURIAE</t>
  </si>
  <si>
    <t>36889-000</t>
  </si>
  <si>
    <t>36892-972</t>
  </si>
  <si>
    <t>PIRAPITINGA - JUIZ DE FORA</t>
  </si>
  <si>
    <t>36107-600</t>
  </si>
  <si>
    <t>PIRAPO</t>
  </si>
  <si>
    <t>97885-000</t>
  </si>
  <si>
    <t>PIRATINI</t>
  </si>
  <si>
    <t>96490-000</t>
  </si>
  <si>
    <t>PISCAMBA - JEQUERI</t>
  </si>
  <si>
    <t>35393-000</t>
  </si>
  <si>
    <t>PITARANA - MONTALVANIA</t>
  </si>
  <si>
    <t>39498-000</t>
  </si>
  <si>
    <t>PLANALTO DE MINAS - DIAMANTINA</t>
  </si>
  <si>
    <t>39114-000</t>
  </si>
  <si>
    <t>POAIA - SANTA MARIA DO SUACUI</t>
  </si>
  <si>
    <t>39783-000</t>
  </si>
  <si>
    <t>POÇO CENTRAL - AURELINO LEAL</t>
  </si>
  <si>
    <t>45678-000</t>
  </si>
  <si>
    <t>POCOES DE PAINEIRAS - PAINEIRAS</t>
  </si>
  <si>
    <t>35623-000</t>
  </si>
  <si>
    <t>PONCIANOS - CONCEICAO DAS ALAGOAS</t>
  </si>
  <si>
    <t>38126-000</t>
  </si>
  <si>
    <t>PONTAL DO PARANA</t>
  </si>
  <si>
    <t>83255-000</t>
  </si>
  <si>
    <t>PONTALETE - TRES PONTAS</t>
  </si>
  <si>
    <t>37192-000</t>
  </si>
  <si>
    <t>PONTAO</t>
  </si>
  <si>
    <t>99190-000</t>
  </si>
  <si>
    <t>PONTE ALTA - UBERABA</t>
  </si>
  <si>
    <t>38106-000</t>
  </si>
  <si>
    <t>PONTE ALTA DE MINAS - CARANGOLA</t>
  </si>
  <si>
    <t>36805-000</t>
  </si>
  <si>
    <t>PONTE DE ITABAPOANA - MIMOSO DO SUL</t>
  </si>
  <si>
    <t>29440-000</t>
  </si>
  <si>
    <t>PONTE DO COSME - BARBACENA</t>
  </si>
  <si>
    <t>36206-200</t>
  </si>
  <si>
    <t>PONTE DOS CIGANOS - CORACAO DE JESUS</t>
  </si>
  <si>
    <t>39343-000</t>
  </si>
  <si>
    <t>PONTE FIRME - PRESIDENTE OLEGARIO</t>
  </si>
  <si>
    <t>38754-000</t>
  </si>
  <si>
    <t>PONTE PRETA</t>
  </si>
  <si>
    <t>99735-000</t>
  </si>
  <si>
    <t>PONTE SEGURA - SENADOR AMARAL</t>
  </si>
  <si>
    <t>37618-000</t>
  </si>
  <si>
    <t>PONTES GESTAL</t>
  </si>
  <si>
    <t>15560-000</t>
  </si>
  <si>
    <t>PONTEVILA - FORMIGA</t>
  </si>
  <si>
    <t>35577-000</t>
  </si>
  <si>
    <t>35579-700</t>
  </si>
  <si>
    <t>PONTO CHIQUE</t>
  </si>
  <si>
    <t>39328-000</t>
  </si>
  <si>
    <t>39328-971</t>
  </si>
  <si>
    <t>PONTO CHIQUE DO MARTELO - BARBACENA</t>
  </si>
  <si>
    <t>36206-500</t>
  </si>
  <si>
    <t>PONTO DO MARAMBAIA - CARAI</t>
  </si>
  <si>
    <t>39812-000</t>
  </si>
  <si>
    <t>PONTOES - AFONSO CLAUDIO</t>
  </si>
  <si>
    <t>29604-000</t>
  </si>
  <si>
    <t>PORANGA - BARRA DE SAO FRANCISCO</t>
  </si>
  <si>
    <t>29817-000</t>
  </si>
  <si>
    <t>PORTO AGRARIO - JUVENILIA</t>
  </si>
  <si>
    <t>39469-000</t>
  </si>
  <si>
    <t>PORTO BARREIRO</t>
  </si>
  <si>
    <t>85345-000</t>
  </si>
  <si>
    <t>PORTO DAS FLORES - BELMIRO BRAGA</t>
  </si>
  <si>
    <t>36128-000</t>
  </si>
  <si>
    <t>PORTO DOS MENDES - CAMPO BELO</t>
  </si>
  <si>
    <t>37271-000</t>
  </si>
  <si>
    <t>PORTO RICO</t>
  </si>
  <si>
    <t>87950-000</t>
  </si>
  <si>
    <t>POUSO NOVO</t>
  </si>
  <si>
    <t>95945-000</t>
  </si>
  <si>
    <t>PRATANIA</t>
  </si>
  <si>
    <t>18660-000</t>
  </si>
  <si>
    <t>18660-970</t>
  </si>
  <si>
    <t>PRATINHA</t>
  </si>
  <si>
    <t>38960-000</t>
  </si>
  <si>
    <t>38960-970</t>
  </si>
  <si>
    <t>PRESIDENTE PENA - CARLOS CHAGAS</t>
  </si>
  <si>
    <t>39865-000</t>
  </si>
  <si>
    <t>PRINCESA - RIO NOVO DO SUL</t>
  </si>
  <si>
    <t>29293-000</t>
  </si>
  <si>
    <t>PROFESSOR SPERBER - CHALE</t>
  </si>
  <si>
    <t>36988-000</t>
  </si>
  <si>
    <t>PROGRESSO</t>
  </si>
  <si>
    <t>95925-000</t>
  </si>
  <si>
    <t>99678-000</t>
  </si>
  <si>
    <t>PROSPERIDADE - VARGEM ALTA</t>
  </si>
  <si>
    <t>29299-000</t>
  </si>
  <si>
    <t>PROTASIO ALVES</t>
  </si>
  <si>
    <t>95345-000</t>
  </si>
  <si>
    <t>PROVIDENCIA - LEOPOLDINA</t>
  </si>
  <si>
    <t>36706-000</t>
  </si>
  <si>
    <t>36708-400</t>
  </si>
  <si>
    <t>PRUDENTOPOLIS</t>
  </si>
  <si>
    <t>84400-000</t>
  </si>
  <si>
    <t>QUARAI</t>
  </si>
  <si>
    <t>97560-000</t>
  </si>
  <si>
    <t>97560-970</t>
  </si>
  <si>
    <t>QUARTEL DO SACRAMENTO - BOM JESUS DO GALHO</t>
  </si>
  <si>
    <t>35342-000</t>
  </si>
  <si>
    <t>QUARTO CENTENARIO</t>
  </si>
  <si>
    <t>87365-000</t>
  </si>
  <si>
    <t>QUATA</t>
  </si>
  <si>
    <t>19780-000</t>
  </si>
  <si>
    <t>QUEIXADA - NOVO CRUZEIRO</t>
  </si>
  <si>
    <t>39823-000</t>
  </si>
  <si>
    <t>QUEM-QUEM - JANAUBA</t>
  </si>
  <si>
    <t>39443-000</t>
  </si>
  <si>
    <t>QUERENCIA DO NORTE</t>
  </si>
  <si>
    <t>87930-000</t>
  </si>
  <si>
    <t>QUEVEDOS</t>
  </si>
  <si>
    <t>98140-000</t>
  </si>
  <si>
    <t>QUILOMBO - SABINOPOLIS</t>
  </si>
  <si>
    <t>39753-000</t>
  </si>
  <si>
    <t>QUILOMBO NOSSA SENHORA DO ROSARIO - TRES PONTAS</t>
  </si>
  <si>
    <t>37193-000</t>
  </si>
  <si>
    <t>37193-970</t>
  </si>
  <si>
    <t>QUILOMETRO 14 DO MUTUM - BAIXO GUANDU</t>
  </si>
  <si>
    <t>29735-000</t>
  </si>
  <si>
    <t>QUINTINOS - CARMO DO PARANAIBA</t>
  </si>
  <si>
    <t>38845-000</t>
  </si>
  <si>
    <t>QUIXABA - MORPARA</t>
  </si>
  <si>
    <t>47585-000</t>
  </si>
  <si>
    <t>RAMILANDIA</t>
  </si>
  <si>
    <t>85888-000</t>
  </si>
  <si>
    <t>RANCHO ALEGRE D OESTE</t>
  </si>
  <si>
    <t>87395-000</t>
  </si>
  <si>
    <t>RANCHO QUEIMADO</t>
  </si>
  <si>
    <t>88470-000</t>
  </si>
  <si>
    <t>RAVENA - SABARA</t>
  </si>
  <si>
    <t>34740-000</t>
  </si>
  <si>
    <t>RELVADO</t>
  </si>
  <si>
    <t>95965-000</t>
  </si>
  <si>
    <t>REMEDIOS - NOVO HORIZONTE</t>
  </si>
  <si>
    <t>46738-000</t>
  </si>
  <si>
    <t>RETIRO VELHO - CHAPADA GAUCHA</t>
  </si>
  <si>
    <t>39314-001</t>
  </si>
  <si>
    <t>RIACHO DA CRUZ - JANUARIA</t>
  </si>
  <si>
    <t>39483-000</t>
  </si>
  <si>
    <t>18430-000</t>
  </si>
  <si>
    <t>18430-970</t>
  </si>
  <si>
    <t>RIBEIRAO DA FOLHA - MINAS NOVAS</t>
  </si>
  <si>
    <t>39651-000</t>
  </si>
  <si>
    <t>RIBEIRAO DE SAO DOMINGOS - SANTA MARGARIDA</t>
  </si>
  <si>
    <t>36915-000</t>
  </si>
  <si>
    <t>RIBEIRÃO DO SALTO - ITARANTIM</t>
  </si>
  <si>
    <t>45785-000</t>
  </si>
  <si>
    <t>18315-000</t>
  </si>
  <si>
    <t>RIBEIRO JUNQUEIRA - LEOPOLDINA</t>
  </si>
  <si>
    <t>36707-000</t>
  </si>
  <si>
    <t>36708-600</t>
  </si>
  <si>
    <t>RIBEIROS - SAO GONCALO DO SAPUCAI</t>
  </si>
  <si>
    <t>37492-000</t>
  </si>
  <si>
    <t>RIO BOM</t>
  </si>
  <si>
    <t>86830-000</t>
  </si>
  <si>
    <t>RIO BONITO DO IGUACU</t>
  </si>
  <si>
    <t>85340-000</t>
  </si>
  <si>
    <t>RIO BRANCO DO IVAI</t>
  </si>
  <si>
    <t>86848-000</t>
  </si>
  <si>
    <t>RIO DAS MORTES - SAO JOAO DEL REI</t>
  </si>
  <si>
    <t>36315-000</t>
  </si>
  <si>
    <t>39940-000</t>
  </si>
  <si>
    <t>39940-970</t>
  </si>
  <si>
    <t>RIO MELO - RIO ESPERA</t>
  </si>
  <si>
    <t>36465-000</t>
  </si>
  <si>
    <t>RIO MUQUI - ITAPEMIRIM</t>
  </si>
  <si>
    <t>29340-000</t>
  </si>
  <si>
    <t>RIO PRETINHO - TEOFILO OTONI</t>
  </si>
  <si>
    <t>39808-000</t>
  </si>
  <si>
    <t>RIO PRETO - NOVA VENECIA</t>
  </si>
  <si>
    <t>29841-000</t>
  </si>
  <si>
    <t>18470-000</t>
  </si>
  <si>
    <t>ROCA GRANDE - SAO JOAO NEPOMUCENO</t>
  </si>
  <si>
    <t>36682-000</t>
  </si>
  <si>
    <t>RODEADOR - MONJOLOS</t>
  </si>
  <si>
    <t>39218-000</t>
  </si>
  <si>
    <t>RODRIGO SILVA - OURO PRETO</t>
  </si>
  <si>
    <t>35407-000</t>
  </si>
  <si>
    <t>RONCADOR</t>
  </si>
  <si>
    <t>87320-000</t>
  </si>
  <si>
    <t>ROSARIO DE MINAS - JUIZ DE FORA</t>
  </si>
  <si>
    <t>36106-000</t>
  </si>
  <si>
    <t>ROSARIO DO IVAI</t>
  </si>
  <si>
    <t>86850-000</t>
  </si>
  <si>
    <t>ROSEIRAL - MUTUM</t>
  </si>
  <si>
    <t>36958-000</t>
  </si>
  <si>
    <t>36958-970</t>
  </si>
  <si>
    <t>39950-000</t>
  </si>
  <si>
    <t>39950-970</t>
  </si>
  <si>
    <t>RURALMINAS - UNAI</t>
  </si>
  <si>
    <t>38619-000</t>
  </si>
  <si>
    <t>SABIAGUABA - AMONTADA</t>
  </si>
  <si>
    <t>62547-000</t>
  </si>
  <si>
    <t>SAGRADA FAMILIA</t>
  </si>
  <si>
    <t>98330-000</t>
  </si>
  <si>
    <t>SALDANHA - PILAO ARCADO</t>
  </si>
  <si>
    <t>47250-000</t>
  </si>
  <si>
    <t>SALDANHA MARINHO</t>
  </si>
  <si>
    <t>98250-000</t>
  </si>
  <si>
    <t>SALITRE DE MINAS - PATROCINIO</t>
  </si>
  <si>
    <t>38743-000</t>
  </si>
  <si>
    <t>39925-000</t>
  </si>
  <si>
    <t>39925-970</t>
  </si>
  <si>
    <t>SALTO DO ITARARE</t>
  </si>
  <si>
    <t>84945-000</t>
  </si>
  <si>
    <t>SAMBAIBA - GRANJA</t>
  </si>
  <si>
    <t>62433-000</t>
  </si>
  <si>
    <t>SAMBAIBA - ITAPICURU</t>
  </si>
  <si>
    <t>48476-000</t>
  </si>
  <si>
    <t>SANATORIO SANTA FE - TRES CORACOES</t>
  </si>
  <si>
    <t>37412-000</t>
  </si>
  <si>
    <t>SANTA ANGELICA - ALEGRE</t>
  </si>
  <si>
    <t>29525-000</t>
  </si>
  <si>
    <t>SANTA BARBARA DO SUL</t>
  </si>
  <si>
    <t>98240-000</t>
  </si>
  <si>
    <t>SANTA CRUZ DA APARECIDA - MONTE BELO</t>
  </si>
  <si>
    <t>37119-000</t>
  </si>
  <si>
    <t>SANTA CRUZ DE BOTUMIRIM - BOTUMIRIM</t>
  </si>
  <si>
    <t>39595-000</t>
  </si>
  <si>
    <t>SANTA CRUZ DE IRUPI - IRUPI</t>
  </si>
  <si>
    <t>29399-000</t>
  </si>
  <si>
    <t>39563-000</t>
  </si>
  <si>
    <t>SANTA CRUZ DO PRATA - GUARANESIA</t>
  </si>
  <si>
    <t>37815-000</t>
  </si>
  <si>
    <t>SANTA CRUZ DO RIO PARDO</t>
  </si>
  <si>
    <t>18900-000</t>
  </si>
  <si>
    <t>18925-970</t>
  </si>
  <si>
    <t>SANTA DA PEDRA - SAO JOAO DO PACUI</t>
  </si>
  <si>
    <t>39368-000</t>
  </si>
  <si>
    <t>SANTA EFIGENIA - CARATINGA</t>
  </si>
  <si>
    <t>35319-000</t>
  </si>
  <si>
    <t>35319-970</t>
  </si>
  <si>
    <t>SANTA FE DE MINAS</t>
  </si>
  <si>
    <t>39295-000</t>
  </si>
  <si>
    <t>SANTA FILOMENA - SANTANA DO MANHUACU</t>
  </si>
  <si>
    <t>36945-000</t>
  </si>
  <si>
    <t>39874-000</t>
  </si>
  <si>
    <t>SANTA INES</t>
  </si>
  <si>
    <t>86660-000</t>
  </si>
  <si>
    <t>SANTA IZABEL - SAO FRANCISCO</t>
  </si>
  <si>
    <t>39310-000</t>
  </si>
  <si>
    <t>SANTA JULIA - SAO ROQUE DO CANAA</t>
  </si>
  <si>
    <t>29669-000</t>
  </si>
  <si>
    <t>SANTA LUCIA</t>
  </si>
  <si>
    <t>85795-000</t>
  </si>
  <si>
    <t>SANTA LUZIA (DST.) - CARATINGA</t>
  </si>
  <si>
    <t>35315-000</t>
  </si>
  <si>
    <t>SANTA LUZIA DA SERRA - JOAO PINHEIRO</t>
  </si>
  <si>
    <t>38774-000</t>
  </si>
  <si>
    <t>SANTA LUZIA DE MANTENOPOLIS - MANTENOPOLIS</t>
  </si>
  <si>
    <t>29772-000</t>
  </si>
  <si>
    <t>SANTA LUZIA DO AZUL - AGUA DOCE DO NORTE</t>
  </si>
  <si>
    <t>29823-000</t>
  </si>
  <si>
    <t>SANTA LUZIA DO NORTE - ECOPORANGA</t>
  </si>
  <si>
    <t>29856-000</t>
  </si>
  <si>
    <t>39928-000</t>
  </si>
  <si>
    <t>39780-000</t>
  </si>
  <si>
    <t>39780-970</t>
  </si>
  <si>
    <t>SANTA MARTA - IBITIRAMA</t>
  </si>
  <si>
    <t>29545-000</t>
  </si>
  <si>
    <t>SANTA RITA DA ESTRELA - ESTRELA DO SUL</t>
  </si>
  <si>
    <t>38526-000</t>
  </si>
  <si>
    <t>SANTA RITA DE IBITIPOCA</t>
  </si>
  <si>
    <t>36235-000</t>
  </si>
  <si>
    <t>36235-972</t>
  </si>
  <si>
    <t>SANTA RITA DE OURO PRETO - OURO PRETO</t>
  </si>
  <si>
    <t>35409-000</t>
  </si>
  <si>
    <t>35409-971</t>
  </si>
  <si>
    <t>SANTA RITA DO CEDRO - CURVELO</t>
  </si>
  <si>
    <t>35791-000</t>
  </si>
  <si>
    <t>SANTA RITA DO RIO DO PEIXE - FERROS</t>
  </si>
  <si>
    <t>35807-000</t>
  </si>
  <si>
    <t>SANTA RITA DURAO - MARIANA</t>
  </si>
  <si>
    <t>35428-000</t>
  </si>
  <si>
    <t>SANTA ROSA DA SERRA</t>
  </si>
  <si>
    <t>38805-000</t>
  </si>
  <si>
    <t>SANTA ROSA DE LIMA - MONTES CLAROS</t>
  </si>
  <si>
    <t>39412-000</t>
  </si>
  <si>
    <t>SANTA ROSA DOS DOURADOS - COROMANDEL</t>
  </si>
  <si>
    <t>38555-000</t>
  </si>
  <si>
    <t>SANTA TEREZA</t>
  </si>
  <si>
    <t>95715-000</t>
  </si>
  <si>
    <t>98778-000</t>
  </si>
  <si>
    <t>SANTA TEREZINHA - ECOPORANGA</t>
  </si>
  <si>
    <t>29875-000</t>
  </si>
  <si>
    <t>SANTA TEREZINHA DE MINAS - ITATIAIUCU</t>
  </si>
  <si>
    <t>35688-000</t>
  </si>
  <si>
    <t>SANTA VITORIA DO PALMAR</t>
  </si>
  <si>
    <t>96230-000</t>
  </si>
  <si>
    <t>SANTANA DA BOA VISTA</t>
  </si>
  <si>
    <t>96590-000</t>
  </si>
  <si>
    <t>SANTANA DE CALDAS - CALDAS</t>
  </si>
  <si>
    <t>37785-000</t>
  </si>
  <si>
    <t>SANTANA DE PATOS - PATOS DE MINAS</t>
  </si>
  <si>
    <t>38711-000</t>
  </si>
  <si>
    <t>SANTANA DO ALFIE - SAO DOMINGOS DO PRATA</t>
  </si>
  <si>
    <t>35997-000</t>
  </si>
  <si>
    <t>SANTANA DO ARACUAI - PONTO DOS VOLANTES</t>
  </si>
  <si>
    <t>39618-000</t>
  </si>
  <si>
    <t>39618-971</t>
  </si>
  <si>
    <t>SANTANA DO CAMPESTRE - ASTOLFO DUTRA</t>
  </si>
  <si>
    <t>36783-000</t>
  </si>
  <si>
    <t>SANTANA DO CAPIVARI - POUSO ALTO</t>
  </si>
  <si>
    <t>37469-000</t>
  </si>
  <si>
    <t>SANTANA DO DESERTO</t>
  </si>
  <si>
    <t>36620-000</t>
  </si>
  <si>
    <t>SANTANA DO ITARARE</t>
  </si>
  <si>
    <t>84970-000</t>
  </si>
  <si>
    <t>SANTANA DO PARAOPEBA - BELO VALE</t>
  </si>
  <si>
    <t>35475-000</t>
  </si>
  <si>
    <t>SANTANA DO SAO FRANCISCO</t>
  </si>
  <si>
    <t>49985-000</t>
  </si>
  <si>
    <t>SANTANA DO TABULEIRO - RAUL SOARES</t>
  </si>
  <si>
    <t>35358-000</t>
  </si>
  <si>
    <t>SANTANA DOS MONTES</t>
  </si>
  <si>
    <t>36430-000</t>
  </si>
  <si>
    <t>SANTISSIMA TRINDADE - IUNA</t>
  </si>
  <si>
    <t>29393-000</t>
  </si>
  <si>
    <t>SANTO AGOSTINHO - AGUA DOCE DO NORTE</t>
  </si>
  <si>
    <t>29824-000</t>
  </si>
  <si>
    <t>SANTO ANTONIO - BARRA DE SAO FRANCISCO</t>
  </si>
  <si>
    <t>29810-000</t>
  </si>
  <si>
    <t>SANTO ANTONIO DA BOA VISTA - SAO JOAO DA PONTE</t>
  </si>
  <si>
    <t>39434-000</t>
  </si>
  <si>
    <t>SANTO ANTONIO DA FORTALEZA - FERROS</t>
  </si>
  <si>
    <t>35801-000</t>
  </si>
  <si>
    <t>SANTO ANTONIO DA VARGEM ALEGRE - BONFIM</t>
  </si>
  <si>
    <t>35482-000</t>
  </si>
  <si>
    <t>SANTO ANTONIO DAS MISSOES</t>
  </si>
  <si>
    <t>97870-000</t>
  </si>
  <si>
    <t>SANTO ANTONIO DO BOQUEIRAO - UNAI</t>
  </si>
  <si>
    <t>38620-000</t>
  </si>
  <si>
    <t>SANTO ANTONIO DO CAIUA</t>
  </si>
  <si>
    <t>87730-000</t>
  </si>
  <si>
    <t>SANTO ANTONIO DO CRUZEIRO - NEPOMUCENO</t>
  </si>
  <si>
    <t>37255-000</t>
  </si>
  <si>
    <t>SANTO ANTONIO DO GLORIA - VIEIRAS</t>
  </si>
  <si>
    <t>36897-000</t>
  </si>
  <si>
    <t>SANTO ANTONIO DO GRAMA</t>
  </si>
  <si>
    <t>35388-000</t>
  </si>
  <si>
    <t>35388-972</t>
  </si>
  <si>
    <t>39935-000</t>
  </si>
  <si>
    <t>39935-970</t>
  </si>
  <si>
    <t>SANTO ANTONIO DO LEITE - OURO PRETO</t>
  </si>
  <si>
    <t>35413-000</t>
  </si>
  <si>
    <t>SANTO ANTONIO DO MANHUACU - CARATINGA</t>
  </si>
  <si>
    <t>35321-000</t>
  </si>
  <si>
    <t>SANTO ANTONIO DO MUCURI - MALACACHETA</t>
  </si>
  <si>
    <t>39691-000</t>
  </si>
  <si>
    <t>SANTO ANTONIO DO MUQUI - MIMOSO DO SUL</t>
  </si>
  <si>
    <t>29407-000</t>
  </si>
  <si>
    <t>SANTO ANTONIO DO NORTE - CONCEICAO DO MATO DENTRO</t>
  </si>
  <si>
    <t>35863-000</t>
  </si>
  <si>
    <t>SANTO ANTONIO DO PINHAL</t>
  </si>
  <si>
    <t>12450-000</t>
  </si>
  <si>
    <t>SANTO ANTONIO DO PIRAPETINGA - PIRANGA</t>
  </si>
  <si>
    <t>36485-000</t>
  </si>
  <si>
    <t>SANTO ANTONIO DO POUSALEGRE - BOA ESPERANCA</t>
  </si>
  <si>
    <t>29848-000</t>
  </si>
  <si>
    <t>SANTO ANTONIO DO QUINZE - NOVA VENECIA</t>
  </si>
  <si>
    <t>29839-000</t>
  </si>
  <si>
    <t>SANTO ANTONIO DO SALTO - OURO PRETO</t>
  </si>
  <si>
    <t>35417-000</t>
  </si>
  <si>
    <t>SANTO ANTONIO DOS ARAUJOS - SAO SEBASTIAO DO MARANHAO</t>
  </si>
  <si>
    <t>39796-000</t>
  </si>
  <si>
    <t>SANTO ANTONIO DOS CAMPOS - DIVINOPOLIS</t>
  </si>
  <si>
    <t>35505-000</t>
  </si>
  <si>
    <t>SANTO EXPEDITO DO SUL</t>
  </si>
  <si>
    <t>99895-000</t>
  </si>
  <si>
    <t>SANTO HILARIO - PIMENTA</t>
  </si>
  <si>
    <t>35586-000</t>
  </si>
  <si>
    <t>SAO BARTOLOMEU - OURO PRETO</t>
  </si>
  <si>
    <t>35406-000</t>
  </si>
  <si>
    <t>SAO BENTO DE CALDAS - SANTA RITA DE CALDAS</t>
  </si>
  <si>
    <t>37778-000</t>
  </si>
  <si>
    <t>SÃO BENTO DO SAPUCAI</t>
  </si>
  <si>
    <t>12490-000</t>
  </si>
  <si>
    <t>SÃO BONIFACIO</t>
  </si>
  <si>
    <t>SAO BRAZ - LAGAMAR</t>
  </si>
  <si>
    <t>38788-000</t>
  </si>
  <si>
    <t>SAO CANDIDO - CARATINGA</t>
  </si>
  <si>
    <t>35320-000</t>
  </si>
  <si>
    <t>SAO DOMINGOS - SANTO ANTONIO DO AVENTUREIRO</t>
  </si>
  <si>
    <t>36675-000</t>
  </si>
  <si>
    <t>SAO DOMINGOS DA BOCAINA - LIMA DUARTE</t>
  </si>
  <si>
    <t>36142-000</t>
  </si>
  <si>
    <t>39300-000</t>
  </si>
  <si>
    <t>49945-000</t>
  </si>
  <si>
    <t>SAO FRANCISCO - SAO DOMINGOS DO NORTE</t>
  </si>
  <si>
    <t>29748-000</t>
  </si>
  <si>
    <t>SAO FRANCISCO DO HUMAITA - MUTUM</t>
  </si>
  <si>
    <t>36956-000</t>
  </si>
  <si>
    <t>SAO FRANCISCO XAVIER - SAO JOSE DOS CAMPOS</t>
  </si>
  <si>
    <t>12249-000</t>
  </si>
  <si>
    <t>SAO FRANCISCO XAVIER DO GUANDU - AFONSO CLAUDIO</t>
  </si>
  <si>
    <t>29613-000</t>
  </si>
  <si>
    <t>SAO GERALDO - MANTENOPOLIS</t>
  </si>
  <si>
    <t>29776-000</t>
  </si>
  <si>
    <t>SAO GERALDO DO BAGUARI - SAO JOAO EVANGELISTA</t>
  </si>
  <si>
    <t>39704-000</t>
  </si>
  <si>
    <t>SAO GONCALO DE BOTELHOS - BOTELHOS</t>
  </si>
  <si>
    <t>37723-000</t>
  </si>
  <si>
    <t>SAO GONCALO DO RIO DAS PEDRAS - SERRO</t>
  </si>
  <si>
    <t>39153-000</t>
  </si>
  <si>
    <t>SAO JERONIMO DOS POCOES - CAMPOS ALTOS</t>
  </si>
  <si>
    <t>38975-000</t>
  </si>
  <si>
    <t>SAO JOAO DA CHAPADA - DIAMANTINA</t>
  </si>
  <si>
    <t>39110-000</t>
  </si>
  <si>
    <t>SAO JOAO DA SAPUCAIA - LARANJAL</t>
  </si>
  <si>
    <t>36765-000</t>
  </si>
  <si>
    <t>SAO JOAO DA SERRA - SANTOS DUMONT</t>
  </si>
  <si>
    <t>36245-000</t>
  </si>
  <si>
    <t>SAO JOAO DA VEREDA - MONTES CLAROS</t>
  </si>
  <si>
    <t>39413-000</t>
  </si>
  <si>
    <t>39475-000</t>
  </si>
  <si>
    <t>39475-971</t>
  </si>
  <si>
    <t>SAO JOAO DE VICOSA - VENDA NOVA DO IMIGRANTE</t>
  </si>
  <si>
    <t>29378-000</t>
  </si>
  <si>
    <t>29378-983</t>
  </si>
  <si>
    <t>SAO JOAO DO BONITO - MATO VERDE</t>
  </si>
  <si>
    <t>39528-000</t>
  </si>
  <si>
    <t>SAO JOAO DO ITAPERIU</t>
  </si>
  <si>
    <t>88395-000</t>
  </si>
  <si>
    <t>SAO JOAO DO JACUTINGA - CARATINGA</t>
  </si>
  <si>
    <t>35322-000</t>
  </si>
  <si>
    <t>SAO JOAO DO NORTE - ALEGRE</t>
  </si>
  <si>
    <t>29537-000</t>
  </si>
  <si>
    <t>SAO JOAO DO PRINCIPE - IUNA</t>
  </si>
  <si>
    <t>29391-000</t>
  </si>
  <si>
    <t>SAO JOAO DO SOBRADO - PINHEIROS</t>
  </si>
  <si>
    <t>29985-000</t>
  </si>
  <si>
    <t>SAO JOAQUIM - CORACAO DE JESUS</t>
  </si>
  <si>
    <t>39348-000</t>
  </si>
  <si>
    <t>39488-000</t>
  </si>
  <si>
    <t>SÃO JORGE</t>
  </si>
  <si>
    <t>95365-000</t>
  </si>
  <si>
    <t>SAO JORGE DA BARRA SECA - VILA VALERIO</t>
  </si>
  <si>
    <t>29790-000</t>
  </si>
  <si>
    <t>29790-980</t>
  </si>
  <si>
    <t>SAO JORGE DO OLIVEIRA - BREJETUBA</t>
  </si>
  <si>
    <t>29635-000</t>
  </si>
  <si>
    <t>SAO JORGE DO PATROCINIO</t>
  </si>
  <si>
    <t>87555-000</t>
  </si>
  <si>
    <t>SAO JORGE DO TIRADENTES - RIO BANANAL</t>
  </si>
  <si>
    <t>29925-000</t>
  </si>
  <si>
    <t>29925-981</t>
  </si>
  <si>
    <t>SAO JOSE DA BELA VISTA - SAO GOTARDO</t>
  </si>
  <si>
    <t>38804-000</t>
  </si>
  <si>
    <t>SAO JOSE DA BOA VISTA</t>
  </si>
  <si>
    <t>84980-000</t>
  </si>
  <si>
    <t>SAO JOSE DA PEDRA MENINA - ESPERA FELIZ</t>
  </si>
  <si>
    <t>36831-000</t>
  </si>
  <si>
    <t>SAO JOSE DAS TORRES - MIMOSO DO SUL</t>
  </si>
  <si>
    <t>29420-000</t>
  </si>
  <si>
    <t>SAO JOSE DE FRUTEIRAS - VARGEM ALTA</t>
  </si>
  <si>
    <t>29298-000</t>
  </si>
  <si>
    <t>SAO JOSE DE MANTENOPOLIS - MANTENOPOLIS</t>
  </si>
  <si>
    <t>29778-000</t>
  </si>
  <si>
    <t>12830-000</t>
  </si>
  <si>
    <t>12830-971</t>
  </si>
  <si>
    <t>SAO JOSE DO BARREIRO - SAO ROQUE DE MINAS</t>
  </si>
  <si>
    <t>37927-000</t>
  </si>
  <si>
    <t>SAO JOSE DO BATATAL - UBAPORANGA</t>
  </si>
  <si>
    <t>35339-000</t>
  </si>
  <si>
    <t>SAO JOSE DO BURITI - FELIXLANDIA</t>
  </si>
  <si>
    <t>39238-000</t>
  </si>
  <si>
    <t>SAO JOSE DO MATO DENTRO - OURO FINO</t>
  </si>
  <si>
    <t>37574-000</t>
  </si>
  <si>
    <t>SAO JOSE DO PANTANO - POUSO ALEGRE</t>
  </si>
  <si>
    <t>37549-000</t>
  </si>
  <si>
    <t>37562-970</t>
  </si>
  <si>
    <t>SAO JOSE DO PRADO - VEREDA</t>
  </si>
  <si>
    <t>45958-000</t>
  </si>
  <si>
    <t>SAO JOSE DO RIO MANSO - ITAJUBA</t>
  </si>
  <si>
    <t>37507-000</t>
  </si>
  <si>
    <t>SAO JOSE DO SOBRADINHO - BOA ESPERANCA</t>
  </si>
  <si>
    <t>29847-000</t>
  </si>
  <si>
    <t>SAO JOSE DOS LOPES - LIMA DUARTE</t>
  </si>
  <si>
    <t>36141-000</t>
  </si>
  <si>
    <t>SAO JOSE DOS SALGADOS - CARMO DO CAJURU</t>
  </si>
  <si>
    <t>35558-000</t>
  </si>
  <si>
    <t>SAO MANOEL DO BOI - CARANGOLA</t>
  </si>
  <si>
    <t>36804-000</t>
  </si>
  <si>
    <t>SAO MANOEL DO GUAIACU - DONA EUZEBIA</t>
  </si>
  <si>
    <t>36787-000</t>
  </si>
  <si>
    <t>SAO MANOEL DO PARANA</t>
  </si>
  <si>
    <t>87215-000</t>
  </si>
  <si>
    <t>SAO MARTINHO DA SERRA</t>
  </si>
  <si>
    <t>97190-000</t>
  </si>
  <si>
    <t>SAO MATEUS DE MINAS - CAMANDUCAIA</t>
  </si>
  <si>
    <t>37652-000</t>
  </si>
  <si>
    <t>SAO NICOLAU</t>
  </si>
  <si>
    <t>97880-000</t>
  </si>
  <si>
    <t>SAO PAULINHO - ITAMARAJU</t>
  </si>
  <si>
    <t>45839-000</t>
  </si>
  <si>
    <t>SAO PEDRO - MUNIZ FREIRE</t>
  </si>
  <si>
    <t>29389-000</t>
  </si>
  <si>
    <t>SAO PEDRO DA GARCA - MONTES CLAROS</t>
  </si>
  <si>
    <t>39411-000</t>
  </si>
  <si>
    <t>SAO PEDRO DAS MISSOES</t>
  </si>
  <si>
    <t>98323-000</t>
  </si>
  <si>
    <t>SAO PEDRO DAS TABOCAS - PEDRAS DE MARIA DA CRUZ</t>
  </si>
  <si>
    <t>39494-000</t>
  </si>
  <si>
    <t>SAO PEDRO DE CALDAS - CALDAS</t>
  </si>
  <si>
    <t>37787-000</t>
  </si>
  <si>
    <t>SAO PEDRO DE ITABAPOANA - MIMOSO DO SUL</t>
  </si>
  <si>
    <t>29405-000</t>
  </si>
  <si>
    <t>SAO PEDRO DE RATES - GUACUI</t>
  </si>
  <si>
    <t>29564-000</t>
  </si>
  <si>
    <t>SAO PEDRO DO AVAI - MANHUACU</t>
  </si>
  <si>
    <t>36906-000</t>
  </si>
  <si>
    <t>SAO PEDRO DO GLORIA - FERVEDOURO</t>
  </si>
  <si>
    <t>36819-000</t>
  </si>
  <si>
    <t>SAO PEDRO DO JEQUITINHONHA - JEQUITINHONHA</t>
  </si>
  <si>
    <t>39961-000</t>
  </si>
  <si>
    <t>SAO PEDRO DO PARANA</t>
  </si>
  <si>
    <t>87955-000</t>
  </si>
  <si>
    <t>SAO PEDRO DO PASSA TRES - BURITIS</t>
  </si>
  <si>
    <t>38664-000</t>
  </si>
  <si>
    <t>SAO RAIMUNDO DA PEDRA MENINA - DORES DO RIO PRETO</t>
  </si>
  <si>
    <t>29588-000</t>
  </si>
  <si>
    <t>SAO ROBERTO - SAO JOAO DA LAGOA</t>
  </si>
  <si>
    <t>39358-000</t>
  </si>
  <si>
    <t>39290-000</t>
  </si>
  <si>
    <t>SAO SEBASTIAO - JOAO PINHEIRO</t>
  </si>
  <si>
    <t>38777-000</t>
  </si>
  <si>
    <t>SÃO SEBASTIÃO - MARESIAS</t>
  </si>
  <si>
    <t>11620-000</t>
  </si>
  <si>
    <t>SAO SEBASTIAO DA BARRA - IAPU</t>
  </si>
  <si>
    <t>35192-000</t>
  </si>
  <si>
    <t>SAO SEBASTIAO DA VITORIA - SAO JOAO DEL REI</t>
  </si>
  <si>
    <t>36316-000</t>
  </si>
  <si>
    <t>SAO SEBASTIAO DE BRAUNAS - BELO ORIENTE</t>
  </si>
  <si>
    <t>35197-000</t>
  </si>
  <si>
    <t>SAO SEBASTIAO DO BAIXIO - ACUCENA</t>
  </si>
  <si>
    <t>35147-400</t>
  </si>
  <si>
    <t>SAO SEBASTIAO DO BARREADO - RIO PRETO</t>
  </si>
  <si>
    <t>36131-000</t>
  </si>
  <si>
    <t>SAO SEBASTIAO DO BONSUCESSO - CONCEICAO DO MATO DENTRO</t>
  </si>
  <si>
    <t>35862-000</t>
  </si>
  <si>
    <t>SAO SEBASTIAO DO GIL - DESTERRO DE ENTRE RIOS</t>
  </si>
  <si>
    <t>35493-000</t>
  </si>
  <si>
    <t>SAO SEBASTIAO DO PONTAL - CARNEIRINHO</t>
  </si>
  <si>
    <t>38292-000</t>
  </si>
  <si>
    <t>38292-971</t>
  </si>
  <si>
    <t>SAO SEBASTIAO DO SACRAMENTO - MANHUACU</t>
  </si>
  <si>
    <t>36908-000</t>
  </si>
  <si>
    <t>SAO SEBASTIAO DO SOBERBO - SANTA CRUZ DO ESCALVADO</t>
  </si>
  <si>
    <t>35387-000</t>
  </si>
  <si>
    <t>SAO SEBASTIAO DOS POCOES - MONTALVANIA</t>
  </si>
  <si>
    <t>39497-000</t>
  </si>
  <si>
    <t>SAO SEBASTIAO DOS ROBERTOS - JACUTINGA</t>
  </si>
  <si>
    <t>37592-000</t>
  </si>
  <si>
    <t>SAO SEBASTIAO DOS TORRES - BARBACENA</t>
  </si>
  <si>
    <t>36206-700</t>
  </si>
  <si>
    <t>SAO TIAGO - GUACUI</t>
  </si>
  <si>
    <t>29562-000</t>
  </si>
  <si>
    <t>SAO VALERIO DO SUL</t>
  </si>
  <si>
    <t>98595-000</t>
  </si>
  <si>
    <t>SAO VENDELINO</t>
  </si>
  <si>
    <t>95795-000</t>
  </si>
  <si>
    <t>SAO VICENTE - BALDIM</t>
  </si>
  <si>
    <t>35733-000</t>
  </si>
  <si>
    <t>SAO VICENTE DA ESTRELA - RAUL SOARES</t>
  </si>
  <si>
    <t>35355-000</t>
  </si>
  <si>
    <t>SAO VICENTE DO GRAMA - JEQUERI</t>
  </si>
  <si>
    <t>35398-000</t>
  </si>
  <si>
    <t>SAPUCAI - JACUTINGA</t>
  </si>
  <si>
    <t>37594-000</t>
  </si>
  <si>
    <t>SAPUCAIA - CARATINGA</t>
  </si>
  <si>
    <t>35311-000</t>
  </si>
  <si>
    <t>35311-970</t>
  </si>
  <si>
    <t>SAPUCAIA DE GUANHAES - GUANHAES</t>
  </si>
  <si>
    <t>39742-000</t>
  </si>
  <si>
    <t>SARANDIRA - JUIZ DE FORA</t>
  </si>
  <si>
    <t>36104-000</t>
  </si>
  <si>
    <t>18840-000</t>
  </si>
  <si>
    <t>18840-970</t>
  </si>
  <si>
    <t>SAUDAVEL - BROTAS DE MACAUBAS</t>
  </si>
  <si>
    <t>47570-000</t>
  </si>
  <si>
    <t>47570-970</t>
  </si>
  <si>
    <t>SENADOR MOURAO - DIAMANTINA</t>
  </si>
  <si>
    <t>39112-000</t>
  </si>
  <si>
    <t>SENADOR SALGADO FILHO</t>
  </si>
  <si>
    <t>98895-000</t>
  </si>
  <si>
    <t>SENHORA DA GLORIA - SANTO HIPOLITO</t>
  </si>
  <si>
    <t>39212-000</t>
  </si>
  <si>
    <t>SENHORA DAS DORES - BARBACENA</t>
  </si>
  <si>
    <t>36207-000</t>
  </si>
  <si>
    <t>SERENO - CATAGUASES</t>
  </si>
  <si>
    <t>36777-000</t>
  </si>
  <si>
    <t>36777-970</t>
  </si>
  <si>
    <t>SERIO</t>
  </si>
  <si>
    <t>95918-000</t>
  </si>
  <si>
    <t>SERRA AZUL - MATEUS LEME</t>
  </si>
  <si>
    <t>35674-000</t>
  </si>
  <si>
    <t>SERRA BONITA - BURITIS</t>
  </si>
  <si>
    <t>38665-000</t>
  </si>
  <si>
    <t>SERRA DA CANABRAVA - UAUA</t>
  </si>
  <si>
    <t>48953-000</t>
  </si>
  <si>
    <t>SERRA DA CANASTRA - SAO ROQUE DE MINAS</t>
  </si>
  <si>
    <t>37929-000</t>
  </si>
  <si>
    <t>SERRA DO CAMAPUA - ENTRE RIOS DE MINAS</t>
  </si>
  <si>
    <t>35491-000</t>
  </si>
  <si>
    <t>SERRA DO CIPO - SANTANA DO RIACHO</t>
  </si>
  <si>
    <t>35847-000</t>
  </si>
  <si>
    <t>SERRA DOS LEMES - CABO VERDE</t>
  </si>
  <si>
    <t>37885-000</t>
  </si>
  <si>
    <t>SERRA NOVA - RIO PARDO DE MINAS</t>
  </si>
  <si>
    <t>39532-000</t>
  </si>
  <si>
    <t>SERRA PELADA - AFONSO CLAUDIO</t>
  </si>
  <si>
    <t>29603-000</t>
  </si>
  <si>
    <t>29603-980</t>
  </si>
  <si>
    <t>SERROTA - SENADOR SA</t>
  </si>
  <si>
    <t>62477-000</t>
  </si>
  <si>
    <t>SERTAO SANTANA</t>
  </si>
  <si>
    <t>92850-000</t>
  </si>
  <si>
    <t>SERTAOZINHO - BORDA DA MATA</t>
  </si>
  <si>
    <t>37565-500</t>
  </si>
  <si>
    <t>SETE CACHOEIRAS - FERROS</t>
  </si>
  <si>
    <t>35802-000</t>
  </si>
  <si>
    <t>SILVA CAMPOS - POMPEU</t>
  </si>
  <si>
    <t>35645-000</t>
  </si>
  <si>
    <t>SILVA XAVIER - SETE LAGOAS</t>
  </si>
  <si>
    <t>35705-000</t>
  </si>
  <si>
    <t>SILVANO - PATROCINIO</t>
  </si>
  <si>
    <t>38744-000</t>
  </si>
  <si>
    <t>SILVEIRA CARVALHO - BARAO DE MONTE ALTO</t>
  </si>
  <si>
    <t>36873-000</t>
  </si>
  <si>
    <t>SIMAO CAMPOS - SAO JOAO DA PONTE</t>
  </si>
  <si>
    <t>39432-000</t>
  </si>
  <si>
    <t>SITIO DO MEIO - CASTRO ALVES</t>
  </si>
  <si>
    <t>44508-000</t>
  </si>
  <si>
    <t>SOBRADINHO</t>
  </si>
  <si>
    <t>96900-000</t>
  </si>
  <si>
    <t>SOBRAL PINTO - ASTOLFO DUTRA</t>
  </si>
  <si>
    <t>36782-000</t>
  </si>
  <si>
    <t>SOBREIRO - LARANJA DA TERRA</t>
  </si>
  <si>
    <t>29619-000</t>
  </si>
  <si>
    <t>29619-982</t>
  </si>
  <si>
    <t>SOPA - DIAMANTINA</t>
  </si>
  <si>
    <t>39102-000</t>
  </si>
  <si>
    <t>SUCANGA - POTE</t>
  </si>
  <si>
    <t>39828-000</t>
  </si>
  <si>
    <t>SUSSUANHA - GUARACIABA DO NORTE</t>
  </si>
  <si>
    <t>62385-000</t>
  </si>
  <si>
    <t>TABAJARA - INHAPIM</t>
  </si>
  <si>
    <t>35333-000</t>
  </si>
  <si>
    <t>TABOLEIRO DO CASTRO - VARZEDO</t>
  </si>
  <si>
    <t>44568-000</t>
  </si>
  <si>
    <t>TABUAO - BOM JARDIM DE MINAS</t>
  </si>
  <si>
    <t>37315-000</t>
  </si>
  <si>
    <t>TAPERUABA - SOBRAL</t>
  </si>
  <si>
    <t>62106-000</t>
  </si>
  <si>
    <t>TAPINAS - ITAPOLIS</t>
  </si>
  <si>
    <t>14907-000</t>
  </si>
  <si>
    <t>TAPIRAMA - GONGOGI</t>
  </si>
  <si>
    <t>45443-000</t>
  </si>
  <si>
    <t>TAPIRANGA - MIGUEL CALMON</t>
  </si>
  <si>
    <t>44723-000</t>
  </si>
  <si>
    <t>TAPUIO - CARIRE</t>
  </si>
  <si>
    <t>62185-000</t>
  </si>
  <si>
    <t>TAQUARAL DE GUANHAES - GUANHAES</t>
  </si>
  <si>
    <t>39743-000</t>
  </si>
  <si>
    <t>TAQUARINHA - MUCURI</t>
  </si>
  <si>
    <t>45935-000</t>
  </si>
  <si>
    <t>18425-000</t>
  </si>
  <si>
    <t>18425-970</t>
  </si>
  <si>
    <t>TARUACU - SAO JOAO NEPOMUCENO</t>
  </si>
  <si>
    <t>36688-000</t>
  </si>
  <si>
    <t>TAVARES</t>
  </si>
  <si>
    <t>96290-000</t>
  </si>
  <si>
    <t>TEBAS - LEOPOLDINA</t>
  </si>
  <si>
    <t>36702-000</t>
  </si>
  <si>
    <t>36708-800</t>
  </si>
  <si>
    <t>TEJUCO - JANUARIA</t>
  </si>
  <si>
    <t>39484-000</t>
  </si>
  <si>
    <t>TERRA BRANCA - BOCAIUVA</t>
  </si>
  <si>
    <t>39393-000</t>
  </si>
  <si>
    <t>TERRA RICA</t>
  </si>
  <si>
    <t>87890-000</t>
  </si>
  <si>
    <t>87890-970</t>
  </si>
  <si>
    <t>TIMONHA - GRANJA</t>
  </si>
  <si>
    <t>62440-000</t>
  </si>
  <si>
    <t>TIQUARUCU - FEIRA DE SANTANA</t>
  </si>
  <si>
    <t>44140-000</t>
  </si>
  <si>
    <t>TOBATI - IBIA</t>
  </si>
  <si>
    <t>38953-000</t>
  </si>
  <si>
    <t>TOCANDIRA - PORTEIRINHA</t>
  </si>
  <si>
    <t>39523-000</t>
  </si>
  <si>
    <t>TOLEDOS - JUIZ DE FORA</t>
  </si>
  <si>
    <t>36107-700</t>
  </si>
  <si>
    <t>TOMAS GONZAGA - CURVELO</t>
  </si>
  <si>
    <t>35789-000</t>
  </si>
  <si>
    <t>TORREOES - JUIZ DE FORA</t>
  </si>
  <si>
    <t>36107-000</t>
  </si>
  <si>
    <t>TRANCOSO - PORTO SEGURO</t>
  </si>
  <si>
    <t>45818-000</t>
  </si>
  <si>
    <t>45818-970</t>
  </si>
  <si>
    <t>TRAVESSEIRO</t>
  </si>
  <si>
    <t>95948-000</t>
  </si>
  <si>
    <t>TRES BARRAS DA ESTRADA REAL - SERRO</t>
  </si>
  <si>
    <t>39159-000</t>
  </si>
  <si>
    <t>TRES FORQUILHAS</t>
  </si>
  <si>
    <t>95575-000</t>
  </si>
  <si>
    <t>TRES ILHAS - BELMIRO BRAGA</t>
  </si>
  <si>
    <t>36127-000</t>
  </si>
  <si>
    <t>TRIMONTE - VOLTA GRANDE</t>
  </si>
  <si>
    <t>36723-000</t>
  </si>
  <si>
    <t>TRIUNFO</t>
  </si>
  <si>
    <t>95840-000</t>
  </si>
  <si>
    <t>96127-000</t>
  </si>
  <si>
    <t>TUIUTINGA - GUIRICEMA</t>
  </si>
  <si>
    <t>36528-000</t>
  </si>
  <si>
    <t>TUNAS</t>
  </si>
  <si>
    <t>99330-000</t>
  </si>
  <si>
    <t>TUNAS DO PARANA</t>
  </si>
  <si>
    <t>83480-000</t>
  </si>
  <si>
    <t>TUPANCI DO SUL</t>
  </si>
  <si>
    <t>99878-000</t>
  </si>
  <si>
    <t>TUPARECE - MEDINA</t>
  </si>
  <si>
    <t>39623-000</t>
  </si>
  <si>
    <t>UBARI - UBA</t>
  </si>
  <si>
    <t>36508-000</t>
  </si>
  <si>
    <t>36509-972</t>
  </si>
  <si>
    <t>UBAUNA - COREAU</t>
  </si>
  <si>
    <t>62168-000</t>
  </si>
  <si>
    <t>UBIRAITA - ANDARAI</t>
  </si>
  <si>
    <t>46833-000</t>
  </si>
  <si>
    <t>46833-970</t>
  </si>
  <si>
    <t>39878-000</t>
  </si>
  <si>
    <t>UMBUZEIRO - LONTRA</t>
  </si>
  <si>
    <t>39439-000</t>
  </si>
  <si>
    <t xml:space="preserve">URUCUIA - ESMERALDAS </t>
  </si>
  <si>
    <t>USINA MONTE ALEGRE - MONTE BELO</t>
  </si>
  <si>
    <t>37118-000</t>
  </si>
  <si>
    <t>VALADARES - JUIZ DE FORA</t>
  </si>
  <si>
    <t>36101-000</t>
  </si>
  <si>
    <t>36101-970</t>
  </si>
  <si>
    <t>VALE VERDE DE MINAS - IPABA</t>
  </si>
  <si>
    <t>35198-500</t>
  </si>
  <si>
    <t>VALO FUNDO - SANTO HIPOLITO</t>
  </si>
  <si>
    <t>39213-000</t>
  </si>
  <si>
    <t>VARGEM GRANDE DA SERRA - BALDIM</t>
  </si>
  <si>
    <t>35735-000</t>
  </si>
  <si>
    <t>VENTANIA</t>
  </si>
  <si>
    <t>84345-000</t>
  </si>
  <si>
    <t>VERA CRUZ DE MINAS - PEDRO LEOPOLDO</t>
  </si>
  <si>
    <t>33680-000</t>
  </si>
  <si>
    <t>VEREDAS - JOAO PINHEIRO</t>
  </si>
  <si>
    <t>38775-000</t>
  </si>
  <si>
    <t>VERMELHO - MURIAE</t>
  </si>
  <si>
    <t>36890-000</t>
  </si>
  <si>
    <t>VERMELHO VELHO - RAUL SOARES</t>
  </si>
  <si>
    <t>35354-000</t>
  </si>
  <si>
    <t>VIEIRA MACHADO - MUNIZ FREIRE</t>
  </si>
  <si>
    <t>29383-000</t>
  </si>
  <si>
    <t>VILA ACARI - PINTOPOLIS</t>
  </si>
  <si>
    <t>39317-800</t>
  </si>
  <si>
    <t>VILA BEM-QUERER - RIACHO DOS MACHADOS</t>
  </si>
  <si>
    <t>39529-800</t>
  </si>
  <si>
    <t>VILA BOM JESUS - ARINOS</t>
  </si>
  <si>
    <t>38688-000</t>
  </si>
  <si>
    <t>VILA COSTINA - PAINS</t>
  </si>
  <si>
    <t>35583-000</t>
  </si>
  <si>
    <t>VILA NELITA - AGUA DOCE DO NORTE</t>
  </si>
  <si>
    <t>29822-000</t>
  </si>
  <si>
    <t>VILA NOVA DE BANANAL - BAIXO GUANDU</t>
  </si>
  <si>
    <t>29742-000</t>
  </si>
  <si>
    <t>VILA NOVA DE MINAS - MONTES CLAROS</t>
  </si>
  <si>
    <t>39416-000</t>
  </si>
  <si>
    <t>39416-970</t>
  </si>
  <si>
    <t>VILA NOVA DOS POCOES - JANAUBA</t>
  </si>
  <si>
    <t>39444-000</t>
  </si>
  <si>
    <t>VILA VERDE - PANCAS</t>
  </si>
  <si>
    <t>29752-000</t>
  </si>
  <si>
    <t>29752-980</t>
  </si>
  <si>
    <t>VILAS BOAS - GUIRICEMA</t>
  </si>
  <si>
    <t>36526-000</t>
  </si>
  <si>
    <t>VINTE ALQUEIRES - PORTO FIRME</t>
  </si>
  <si>
    <t>36578-970</t>
  </si>
  <si>
    <t>VISTA ALEGRE - CLARO DOS POCOES</t>
  </si>
  <si>
    <t>39385-000</t>
  </si>
  <si>
    <t>VITORINOS - ALTO RIO DOCE</t>
  </si>
  <si>
    <t>36264-000</t>
  </si>
  <si>
    <t>VOLTA DA SERRA - PARATINGA</t>
  </si>
  <si>
    <t>47507-000</t>
  </si>
  <si>
    <t>ZELANDIA - SANTA JULIANA</t>
  </si>
  <si>
    <t>38176-000</t>
  </si>
  <si>
    <t>ZITO SOARES - SANTA CRUZ DO ESCALVADO</t>
  </si>
  <si>
    <t>35383-000</t>
  </si>
  <si>
    <t xml:space="preserve">ZONA RURAL - RIO ACIMA </t>
  </si>
  <si>
    <t>34300-000</t>
  </si>
  <si>
    <t>ROD</t>
  </si>
  <si>
    <t>ALEGRIA</t>
  </si>
  <si>
    <t>98905-000</t>
  </si>
  <si>
    <t>98909-999</t>
  </si>
  <si>
    <t>FRW</t>
  </si>
  <si>
    <t>AMETISTA DO SUL</t>
  </si>
  <si>
    <t>98465-000</t>
  </si>
  <si>
    <t>98469-999</t>
  </si>
  <si>
    <t>CBO</t>
  </si>
  <si>
    <t>ARROIO DOS RATOS</t>
  </si>
  <si>
    <t>96740-000</t>
  </si>
  <si>
    <t>96744-999</t>
  </si>
  <si>
    <t>URU</t>
  </si>
  <si>
    <t>BARRA DO QUARAI</t>
  </si>
  <si>
    <t>97538-000</t>
  </si>
  <si>
    <t>97539-999</t>
  </si>
  <si>
    <t>PRO</t>
  </si>
  <si>
    <t>BARROS CASSAL</t>
  </si>
  <si>
    <t>99360-000</t>
  </si>
  <si>
    <t>99369-999</t>
  </si>
  <si>
    <t>BOA VISTA DAS MISSOES</t>
  </si>
  <si>
    <t>98335-000</t>
  </si>
  <si>
    <t>98337-999</t>
  </si>
  <si>
    <t>NOR</t>
  </si>
  <si>
    <t>BOM JESUS</t>
  </si>
  <si>
    <t>95290-000</t>
  </si>
  <si>
    <t>95299-999</t>
  </si>
  <si>
    <t>BUTIA</t>
  </si>
  <si>
    <t>96750-000</t>
  </si>
  <si>
    <t>96754-999</t>
  </si>
  <si>
    <t>SMI</t>
  </si>
  <si>
    <t>CACAPAVA DO SUL</t>
  </si>
  <si>
    <t>96570-000</t>
  </si>
  <si>
    <t>96589-999</t>
  </si>
  <si>
    <t>SAN</t>
  </si>
  <si>
    <t>CACEQUI</t>
  </si>
  <si>
    <t>97450-000</t>
  </si>
  <si>
    <t>97499-999</t>
  </si>
  <si>
    <t>IBI</t>
  </si>
  <si>
    <t>CAMPOS BORGES</t>
  </si>
  <si>
    <t>99435-000</t>
  </si>
  <si>
    <t>99439-999</t>
  </si>
  <si>
    <t>CERRO GRANDE</t>
  </si>
  <si>
    <t>98340-000</t>
  </si>
  <si>
    <t>98344-999</t>
  </si>
  <si>
    <t>CERRO LARGO</t>
  </si>
  <si>
    <t>97900-000</t>
  </si>
  <si>
    <t>97919-999</t>
  </si>
  <si>
    <t>SAR</t>
  </si>
  <si>
    <t>CHAPADA</t>
  </si>
  <si>
    <t>99530-000</t>
  </si>
  <si>
    <t>99559-999</t>
  </si>
  <si>
    <t>CHARQUEADAS</t>
  </si>
  <si>
    <t>96745-000</t>
  </si>
  <si>
    <t>96749-999</t>
  </si>
  <si>
    <t>CONSTANTINA</t>
  </si>
  <si>
    <t>99680-000</t>
  </si>
  <si>
    <t>99686-999</t>
  </si>
  <si>
    <t>TAP</t>
  </si>
  <si>
    <t>DAVID CANABARRO</t>
  </si>
  <si>
    <t>99980-000</t>
  </si>
  <si>
    <t>99989-999</t>
  </si>
  <si>
    <t>ERE</t>
  </si>
  <si>
    <t>ERVAL GRANDE</t>
  </si>
  <si>
    <t>99750-000</t>
  </si>
  <si>
    <t>99759-999</t>
  </si>
  <si>
    <t>ERVAL SECO</t>
  </si>
  <si>
    <t>98390-000</t>
  </si>
  <si>
    <t>98399-999</t>
  </si>
  <si>
    <t>FONTOURA XAVIER</t>
  </si>
  <si>
    <t>99370-000</t>
  </si>
  <si>
    <t>99379-999</t>
  </si>
  <si>
    <t>IBIRAPUITA</t>
  </si>
  <si>
    <t>99320-000</t>
  </si>
  <si>
    <t>99329-999</t>
  </si>
  <si>
    <t>INDEPENDENCIA</t>
  </si>
  <si>
    <t>98915-000</t>
  </si>
  <si>
    <t>98917-999</t>
  </si>
  <si>
    <t>IRAI</t>
  </si>
  <si>
    <t>98460-000</t>
  </si>
  <si>
    <t>98464-999</t>
  </si>
  <si>
    <t>ITAQUI</t>
  </si>
  <si>
    <t>97650-000</t>
  </si>
  <si>
    <t>97669-999</t>
  </si>
  <si>
    <t>JABOTICABA</t>
  </si>
  <si>
    <t>98350-000</t>
  </si>
  <si>
    <t>98359-999</t>
  </si>
  <si>
    <t>JAGUARI</t>
  </si>
  <si>
    <t>97760-000</t>
  </si>
  <si>
    <t>97769-999</t>
  </si>
  <si>
    <t>RIA</t>
  </si>
  <si>
    <t>JULIO DE CASTILHOS</t>
  </si>
  <si>
    <t>98130-000</t>
  </si>
  <si>
    <t>98139-999</t>
  </si>
  <si>
    <t>VAC</t>
  </si>
  <si>
    <t>LAGOA VERMELHA</t>
  </si>
  <si>
    <t>95300-000</t>
  </si>
  <si>
    <t>95304-999</t>
  </si>
  <si>
    <t>ALE</t>
  </si>
  <si>
    <t>MANOEL VIANA</t>
  </si>
  <si>
    <t>97640-000</t>
  </si>
  <si>
    <t>97644-999</t>
  </si>
  <si>
    <t>SAP</t>
  </si>
  <si>
    <t>MOSTARDAS</t>
  </si>
  <si>
    <t>96270-000</t>
  </si>
  <si>
    <t>96289-999</t>
  </si>
  <si>
    <t>NONOAI</t>
  </si>
  <si>
    <t>99600-000</t>
  </si>
  <si>
    <t>99604-999</t>
  </si>
  <si>
    <t>NOVA ESPERANCA DO SUL</t>
  </si>
  <si>
    <t>97770-000</t>
  </si>
  <si>
    <t>97799-999</t>
  </si>
  <si>
    <t>NOVO BARREIRO</t>
  </si>
  <si>
    <t>98338-000</t>
  </si>
  <si>
    <t>98339-999</t>
  </si>
  <si>
    <t>PLANALTO</t>
  </si>
  <si>
    <t>98470-000</t>
  </si>
  <si>
    <t>98479-999</t>
  </si>
  <si>
    <t>PORTO XAVIER</t>
  </si>
  <si>
    <t>98995-000</t>
  </si>
  <si>
    <t>98999-999</t>
  </si>
  <si>
    <t>RODEIO BONITO</t>
  </si>
  <si>
    <t>98360-000</t>
  </si>
  <si>
    <t>98367-999</t>
  </si>
  <si>
    <t>RONDA ALTA</t>
  </si>
  <si>
    <t>99670-000</t>
  </si>
  <si>
    <t>99674-999</t>
  </si>
  <si>
    <t>RONDINHA</t>
  </si>
  <si>
    <t>99590-000</t>
  </si>
  <si>
    <t>99599-999</t>
  </si>
  <si>
    <t>SALTO DO JACUI</t>
  </si>
  <si>
    <t>99440-000</t>
  </si>
  <si>
    <t>99449-999</t>
  </si>
  <si>
    <t>SALVADOR DAS MISSOES</t>
  </si>
  <si>
    <t>97940-000</t>
  </si>
  <si>
    <t>97949-999</t>
  </si>
  <si>
    <t>SANTO AUGUSTO</t>
  </si>
  <si>
    <t>98590-000</t>
  </si>
  <si>
    <t>98594-999</t>
  </si>
  <si>
    <t>SBJ</t>
  </si>
  <si>
    <t>SAO BORJA</t>
  </si>
  <si>
    <t>97670-000</t>
  </si>
  <si>
    <t>97684-999</t>
  </si>
  <si>
    <t>SAO FRANCISCO DE ASSIS</t>
  </si>
  <si>
    <t>97610-000</t>
  </si>
  <si>
    <t>97639-999</t>
  </si>
  <si>
    <t>SAO JERONIMO</t>
  </si>
  <si>
    <t>96700-000</t>
  </si>
  <si>
    <t>96734-999</t>
  </si>
  <si>
    <t>SAO JOSE DO HERVAL</t>
  </si>
  <si>
    <t>99380-000</t>
  </si>
  <si>
    <t>99399-999</t>
  </si>
  <si>
    <t>SAO MIGUEL DAS MISSOES</t>
  </si>
  <si>
    <t>98865-000</t>
  </si>
  <si>
    <t>98869-999</t>
  </si>
  <si>
    <t>SAO SEPE</t>
  </si>
  <si>
    <t>97340-000</t>
  </si>
  <si>
    <t>97384-999</t>
  </si>
  <si>
    <t>SAO VALENTIM</t>
  </si>
  <si>
    <t>99640-000</t>
  </si>
  <si>
    <t>99644-999</t>
  </si>
  <si>
    <t>SERTAO</t>
  </si>
  <si>
    <t>99170-000</t>
  </si>
  <si>
    <t>99174-999</t>
  </si>
  <si>
    <t>TRES PALMEIRAS</t>
  </si>
  <si>
    <t>99675-000</t>
  </si>
  <si>
    <t>99679-999</t>
  </si>
  <si>
    <t>TUCUNDUVA</t>
  </si>
  <si>
    <t>98930-000</t>
  </si>
  <si>
    <t>98939-999</t>
  </si>
  <si>
    <t>TUPANCIRETA</t>
  </si>
  <si>
    <t>98170-000</t>
  </si>
  <si>
    <t>98174-999</t>
  </si>
  <si>
    <t>TUPARENDI</t>
  </si>
  <si>
    <t>98940-000</t>
  </si>
  <si>
    <t>98946-999</t>
  </si>
  <si>
    <t>VIADUTOS</t>
  </si>
  <si>
    <t>99820-000</t>
  </si>
  <si>
    <t>99824-999</t>
  </si>
  <si>
    <t>TAG - Taxa de Agendamento</t>
  </si>
  <si>
    <t>Clientes de entrega com agendamento realizado pela Patrus</t>
  </si>
  <si>
    <t>08.531.872/</t>
  </si>
  <si>
    <t>4 JOTAS MATERIAS DE CONSTRUÇÃO</t>
  </si>
  <si>
    <t>69.144.806/</t>
  </si>
  <si>
    <t>ACEFER FERRAMENTAS E TINTAS E REPRESENTACAO COMERCIAL LTDA</t>
  </si>
  <si>
    <t>14.522.178/</t>
  </si>
  <si>
    <t>AEROPORTOS BRASIL - VIRACOPOS S.A. - EM RECUPERAÇÃO JUDICIAL</t>
  </si>
  <si>
    <t>68.993.641/</t>
  </si>
  <si>
    <t>AGIS EQUIPAMENTOS E SERVIÇOS DE INFORMATICA LTDA</t>
  </si>
  <si>
    <t>12.595.364/</t>
  </si>
  <si>
    <t>AGR IMPORTACAO E COMERCIO DE CONFECCOES LTDA</t>
  </si>
  <si>
    <t>61.079.117/</t>
  </si>
  <si>
    <t>ALPARGATAS S A</t>
  </si>
  <si>
    <t>00.565.813/</t>
  </si>
  <si>
    <t>ANHANGUERA COMÉRCIO DE FERRAMENTAS LTDA.</t>
  </si>
  <si>
    <t>ATACADAO S.A.</t>
  </si>
  <si>
    <t>01.225.753/</t>
  </si>
  <si>
    <t xml:space="preserve">AZTREC ARMAZENS GERAIS LTDA </t>
  </si>
  <si>
    <t>24.413.865/</t>
  </si>
  <si>
    <t>BARUERI ATACADISTA DE MATERIAL DE CONSTRUCAO LTDA</t>
  </si>
  <si>
    <t>05.151.518/</t>
  </si>
  <si>
    <t>BELENUS LTDA</t>
  </si>
  <si>
    <t>13.574.594/</t>
  </si>
  <si>
    <t>BK BRASIL OPERACAO E ASSESSORIA A RESTAURANTES S.A.</t>
  </si>
  <si>
    <t>17.847.992/</t>
  </si>
  <si>
    <t xml:space="preserve">BRUKA CALCADOS E ACESSORIOS EIRELI </t>
  </si>
  <si>
    <t>30.759.730/</t>
  </si>
  <si>
    <t>BUSINESS TO YOU</t>
  </si>
  <si>
    <t>28.622.684/</t>
  </si>
  <si>
    <t>CALCADOS J BRAND VI - EIRELI</t>
  </si>
  <si>
    <t>52.452.174/</t>
  </si>
  <si>
    <t>CAL-CENTER COM DE CALCADOS LT</t>
  </si>
  <si>
    <t>60.307.634/</t>
  </si>
  <si>
    <t>CARISMA COMÉRCIO DE CALÇADOS LTDA</t>
  </si>
  <si>
    <t>30.812.050/</t>
  </si>
  <si>
    <t>CARLOS AUGUSTO DE SOUZA OLIVEIRA MARTINS</t>
  </si>
  <si>
    <t>53.794.996/</t>
  </si>
  <si>
    <t>CASA J NAKAO LT</t>
  </si>
  <si>
    <t>05.951.362/</t>
  </si>
  <si>
    <t>CENTERLAR COMERCIO DE UTILIDADES LTDA</t>
  </si>
  <si>
    <t>53.859.112/</t>
  </si>
  <si>
    <t>CIA JAGUARI ENERGIA</t>
  </si>
  <si>
    <t>10.413.463/</t>
  </si>
  <si>
    <t>CND 27 COMERCIO DE UTILIDADES LTDA</t>
  </si>
  <si>
    <t>01.844.555/</t>
  </si>
  <si>
    <t>CNH INDUSTRIAL BRASIL LTDA.</t>
  </si>
  <si>
    <t>60.850.617/</t>
  </si>
  <si>
    <t xml:space="preserve">Cnh Industrial Latin America Ltda  </t>
  </si>
  <si>
    <t>COMERCIAL CIRURGICA RIOCLARENSE LTDA</t>
  </si>
  <si>
    <t>50.028.976/</t>
  </si>
  <si>
    <t>COMERCIAL SACILOTTO LTDA</t>
  </si>
  <si>
    <t>33.050.196/</t>
  </si>
  <si>
    <t>COMPANHIA PAULISTA DE FORCA E LUZ</t>
  </si>
  <si>
    <t>04.172.213/</t>
  </si>
  <si>
    <t>COMPANHIA PIRATININGA DE FORCA E LUZ</t>
  </si>
  <si>
    <t>04.648.461/</t>
  </si>
  <si>
    <t>CONSTRUJA DISTRIBUIDORA DE MATERIAIS PARA CONSTRUCAO LTDA</t>
  </si>
  <si>
    <t>61.233.151/</t>
  </si>
  <si>
    <t>COVABRA SUPERMERCADOS LTDA</t>
  </si>
  <si>
    <t>58.635.517/</t>
  </si>
  <si>
    <t>CPFL SERVICOS, EQUIPAMENTOS, INDUSTRIA E COMERCIO S/A</t>
  </si>
  <si>
    <t>11.118.549/</t>
  </si>
  <si>
    <t>DELTRONICA TECNOLOGIA</t>
  </si>
  <si>
    <t>13.495.487/</t>
  </si>
  <si>
    <t>DESTRO BRASIL DISTRIBUICAO LTDA</t>
  </si>
  <si>
    <t>07.665.018/</t>
  </si>
  <si>
    <t>DISTRIBUIDORA PREMIUM LTDA</t>
  </si>
  <si>
    <t>26.051.051/</t>
  </si>
  <si>
    <t>DITUDOTEM - COMERCIO E DISTRIBUICAO LTDA</t>
  </si>
  <si>
    <t>05.556.181/</t>
  </si>
  <si>
    <t>ECLIPSE COMERCIO DE CALÇADOS LTDA</t>
  </si>
  <si>
    <t>05.789.313/</t>
  </si>
  <si>
    <t>ENXUTO SUPERMERCADOS LTDA</t>
  </si>
  <si>
    <t>01.512.104/</t>
  </si>
  <si>
    <t>ESPACO DO BANHO E AROMAS LTDA</t>
  </si>
  <si>
    <t>FERRAMENTAS GERAIS COMERCIO E IMPORTACAO DE FERRAMENTAS E MA</t>
  </si>
  <si>
    <t>67.785.485/</t>
  </si>
  <si>
    <t>FLYTE COM DE CALCADOS LT</t>
  </si>
  <si>
    <t>55.847.057/</t>
  </si>
  <si>
    <t>FORT LUB PRODUTOS AUTOMOTIVOS LTDA</t>
  </si>
  <si>
    <t>08.285.374/</t>
  </si>
  <si>
    <t>FOXCONN BRASIL INDUSTRIA E COMERCIO LTDA</t>
  </si>
  <si>
    <t>GFG COMERCIO DIGITAL LTDA.</t>
  </si>
  <si>
    <t>50.221.019/</t>
  </si>
  <si>
    <t>HNK BR INDUSTRIA DE BEBIDAS LTDA.</t>
  </si>
  <si>
    <t>47.855.507/</t>
  </si>
  <si>
    <t>IGARATIBA IND COM LT</t>
  </si>
  <si>
    <t>10.440.534/</t>
  </si>
  <si>
    <t>INTERBRILHO HIGIENE E LIMPEZA LTDA</t>
  </si>
  <si>
    <t>50.948.371/</t>
  </si>
  <si>
    <t>IRMAOS BOA LTDA</t>
  </si>
  <si>
    <t>12.624.074/</t>
  </si>
  <si>
    <t>JLD COMERCIAL LTDA</t>
  </si>
  <si>
    <t>64.905.847/</t>
  </si>
  <si>
    <t>KENIAK COMERCIO DE CALCADOS LTDA</t>
  </si>
  <si>
    <t>69.035.913/</t>
  </si>
  <si>
    <t>KYRALY COMERCIO DE CALCADOS LT</t>
  </si>
  <si>
    <t>18.876.395/</t>
  </si>
  <si>
    <t>LADO B COMERCIO E SERVICOS DE CONFECCOES LTDA</t>
  </si>
  <si>
    <t>LEROY MERLIN COMPANHIA BRASILEIRA DE BRICOLAGEM</t>
  </si>
  <si>
    <t>27.269.002/</t>
  </si>
  <si>
    <t>LLP EQUIPAMENTOS HOSPITALARES</t>
  </si>
  <si>
    <t>46.013.702/</t>
  </si>
  <si>
    <t>LOJAS REUNIDAS DE CALÇADOS LTDA</t>
  </si>
  <si>
    <t>31.856.194/</t>
  </si>
  <si>
    <t>LUCIMERE MOREIRA SANTIAGO 08132564618</t>
  </si>
  <si>
    <t>51.051.811/</t>
  </si>
  <si>
    <t>LUITEX MÁQUINAS E FERRAMENTAS LTDA</t>
  </si>
  <si>
    <t>M.N. TERUYA COMERCIAL DE FERRAMENTAS LTDA</t>
  </si>
  <si>
    <t>02.990.605/</t>
  </si>
  <si>
    <t>MARELLI SISTEMAS AUTOMOTIVOS INDUSTRIA E COMERCIO BRASIL LTD</t>
  </si>
  <si>
    <t>04.160.090/</t>
  </si>
  <si>
    <t>MILLENIUM COMERCIO DE EQUIPAMENTOS INDUSTRIAIS LTDA</t>
  </si>
  <si>
    <t>04.150.555/</t>
  </si>
  <si>
    <t>MILLENIUM UTILIDADES DOMESTICAS LTDA</t>
  </si>
  <si>
    <t>NORTEL SUPRIMENTOS INDUSTRIAIS LTDA</t>
  </si>
  <si>
    <t>63.960.181/</t>
  </si>
  <si>
    <t>OPETRA INDUSTRIA E COMERCIO DE TRAVESSEIROS LTDA.</t>
  </si>
  <si>
    <t>01.098.983/</t>
  </si>
  <si>
    <t>PAQUETA CALCADOS LTDA - EM RECUPERACAO JUDICIAL</t>
  </si>
  <si>
    <t>45.512.555/</t>
  </si>
  <si>
    <t>PASSARELA MODAS LTDA</t>
  </si>
  <si>
    <t>62.270.186/</t>
  </si>
  <si>
    <t>PRECOLANDIA COML LT</t>
  </si>
  <si>
    <t>29.499.119/</t>
  </si>
  <si>
    <t>RPG DIAS COMERCIO ONLINE</t>
  </si>
  <si>
    <t>67.494.625/</t>
  </si>
  <si>
    <t>RW UNIFORMES EIRELI</t>
  </si>
  <si>
    <t>71.961.049/</t>
  </si>
  <si>
    <t>SACI COMERCIO DE TINTAS LTDA</t>
  </si>
  <si>
    <t>71.322.150/</t>
  </si>
  <si>
    <t>SAVEGNAGO SUPERMERCADOS LTDA</t>
  </si>
  <si>
    <t>SBF COMERCIO DE PRODUTOS ESPORTIVOS S A</t>
  </si>
  <si>
    <t>00.678.554/</t>
  </si>
  <si>
    <t>SNICKER COMERCIO DE CALÇADOS LTDA</t>
  </si>
  <si>
    <t>07.984.267/</t>
  </si>
  <si>
    <t>STARBUCKS BRASIL COMERCIO DE CAFES LTDA.</t>
  </si>
  <si>
    <t>12.818.698/</t>
  </si>
  <si>
    <t xml:space="preserve">TA MELHOR AGORA - COMERCIO DE CAMA, MESA E BANHO LTDA </t>
  </si>
  <si>
    <t>60.397.775/</t>
  </si>
  <si>
    <t>TAKEDA PHARMA LTDA.</t>
  </si>
  <si>
    <t>07.855.635/</t>
  </si>
  <si>
    <t>TINTOMATIC EQUIPAMENTOS MECANICOS LTDA</t>
  </si>
  <si>
    <t>71.522.569/</t>
  </si>
  <si>
    <t>VECTRA COMÉRCIO DE CALÇADOS LTDA</t>
  </si>
  <si>
    <t>16.828.377/</t>
  </si>
  <si>
    <t>VIA RIO COMERCIO DE CALCADOS LTDA</t>
  </si>
  <si>
    <t>14.948.242/</t>
  </si>
  <si>
    <t>VICENTE DA SILVEIRA JUNIOR</t>
  </si>
  <si>
    <t>06.919.454/</t>
  </si>
  <si>
    <t xml:space="preserve">W.N Teruva Coml .Ferramentas LTDA  </t>
  </si>
  <si>
    <t>30.024.027/</t>
  </si>
  <si>
    <t>WJ MATERIAIS ELETRONICOS</t>
  </si>
  <si>
    <t>68.912.047/</t>
  </si>
  <si>
    <t>YUESEY COM DE CALCADOS LT</t>
  </si>
  <si>
    <t>22.283.265/</t>
  </si>
  <si>
    <t>ZANLINE BAZAR E UTENSILIOS LTDA</t>
  </si>
  <si>
    <t>01.874.166/</t>
  </si>
  <si>
    <t xml:space="preserve"> MASTER ATS </t>
  </si>
  <si>
    <t>08.252.740/</t>
  </si>
  <si>
    <t xml:space="preserve">AKL </t>
  </si>
  <si>
    <t xml:space="preserve">AMAZON </t>
  </si>
  <si>
    <t>26.344.891/</t>
  </si>
  <si>
    <t>AMOR CON AMOR SE PAGA COMERCIO DE ARTIGOS DE CAMA MESA E BAN</t>
  </si>
  <si>
    <t>20.512.563/</t>
  </si>
  <si>
    <t>AMOR Y SUENOS COMERCIO DE ARTIGOS DE CAMA, MESA E BANHO EIRE</t>
  </si>
  <si>
    <t>13.084.085/</t>
  </si>
  <si>
    <t xml:space="preserve">ARTESHOES COMERCIO DE CALCADOS, BOLSAS E ACESSORIOS LTDA </t>
  </si>
  <si>
    <t>60.406.725/</t>
  </si>
  <si>
    <t>BARKEV MATERIAIS PARA CONSTRUCOES LTDA</t>
  </si>
  <si>
    <t>23.476.033/</t>
  </si>
  <si>
    <t>BMB MATERIAL DE CONSTRUCAO S.A.</t>
  </si>
  <si>
    <t>12.356.100/</t>
  </si>
  <si>
    <t>BMP UTILIDADES DOMESTICAS S.A.</t>
  </si>
  <si>
    <t>22.670.330/</t>
  </si>
  <si>
    <t>CALCADOS J BRAND II - EIRELI</t>
  </si>
  <si>
    <t>22.539.582/</t>
  </si>
  <si>
    <t>CALCADOS J BRAND III - EIRELI</t>
  </si>
  <si>
    <t>29.296.849/</t>
  </si>
  <si>
    <t>CALCADOS J BRAND V EIRELI</t>
  </si>
  <si>
    <t>64.626.179/</t>
  </si>
  <si>
    <t>CASA DO LOJISTA ATACADISTA DE MATERIAIS PARA CONSTRUÇÃO LTDA</t>
  </si>
  <si>
    <t>52.816.162/</t>
  </si>
  <si>
    <t>CENTER FERTIN</t>
  </si>
  <si>
    <t xml:space="preserve">CIA BRASILEIRA DISTRIBUIÇÃO </t>
  </si>
  <si>
    <t>58.248.352/</t>
  </si>
  <si>
    <t>COBRA ROLAMENTOS E AUTOPECAS S.A.</t>
  </si>
  <si>
    <t>49.318.538/</t>
  </si>
  <si>
    <t>COM DE FERRAMENTAS TERUYA LT</t>
  </si>
  <si>
    <t>59.784.868/</t>
  </si>
  <si>
    <t>CONIBASE</t>
  </si>
  <si>
    <t>03.439.316/</t>
  </si>
  <si>
    <t xml:space="preserve">CONSTRUDECOR </t>
  </si>
  <si>
    <t>55.728.224/</t>
  </si>
  <si>
    <t>COPAFER COMERCIAL LTDA</t>
  </si>
  <si>
    <t>02.054.258/</t>
  </si>
  <si>
    <t xml:space="preserve">CRISTAL </t>
  </si>
  <si>
    <t>60.872.124/</t>
  </si>
  <si>
    <t>DE MEO COMERCIAL IMPORTADORA LTDA</t>
  </si>
  <si>
    <t>21.468.952/</t>
  </si>
  <si>
    <t>DISTRIBUIDORA MUNDO VERDE</t>
  </si>
  <si>
    <t>63.957.302/</t>
  </si>
  <si>
    <t xml:space="preserve">DISTRIBUIDORA NAVARRO </t>
  </si>
  <si>
    <t>50.970.342/</t>
  </si>
  <si>
    <t>DUTRA MAQUINAS COMERCIAL E TECNICA LTDA</t>
  </si>
  <si>
    <t>03.007.331/</t>
  </si>
  <si>
    <t>EBAZAR.COM.BR. LTDA</t>
  </si>
  <si>
    <t>66.573.759/</t>
  </si>
  <si>
    <t xml:space="preserve">ELETROLESTE </t>
  </si>
  <si>
    <t>FAST SHOP</t>
  </si>
  <si>
    <t>00.288.671/</t>
  </si>
  <si>
    <t xml:space="preserve">FERA ATACADISTA </t>
  </si>
  <si>
    <t>57.011.405/</t>
  </si>
  <si>
    <t xml:space="preserve">G P Z </t>
  </si>
  <si>
    <t>03.010.739/</t>
  </si>
  <si>
    <t>GLOBAL CENTER COM DE FERRAGENS LT</t>
  </si>
  <si>
    <t>29.302.348/</t>
  </si>
  <si>
    <t>GURGELMIX MAQUINAS E FERRAMENTAS S.A.</t>
  </si>
  <si>
    <t>06.368.154/</t>
  </si>
  <si>
    <t>INBRANDS INDUSTRIA DE ROUPAS S.A.</t>
  </si>
  <si>
    <t>51.540.219/</t>
  </si>
  <si>
    <t>KALLAN CALCADOS LTDA.</t>
  </si>
  <si>
    <t>LOJAS AMERICANAS</t>
  </si>
  <si>
    <t>46.469.748/</t>
  </si>
  <si>
    <t xml:space="preserve">LOJAS BELIAN </t>
  </si>
  <si>
    <t>LOJAS RENNER S.A.</t>
  </si>
  <si>
    <t>33.508.154/</t>
  </si>
  <si>
    <t xml:space="preserve">MAMAE PRESENTES </t>
  </si>
  <si>
    <t>61.189.288/</t>
  </si>
  <si>
    <t>MARISA LOJAS S.A.</t>
  </si>
  <si>
    <t>13.571.969/</t>
  </si>
  <si>
    <t xml:space="preserve">MJR CUNHA </t>
  </si>
  <si>
    <t>22.639.014/</t>
  </si>
  <si>
    <t>NAVITAS VAREJO E DISTRIBUICAO LTDA</t>
  </si>
  <si>
    <t>97.550.909/</t>
  </si>
  <si>
    <t xml:space="preserve">ORBIS </t>
  </si>
  <si>
    <t>02.229.804/</t>
  </si>
  <si>
    <t>PLATLOG IMPORTACAO, LOGISTICA E DISTRIBUICAO LTDA</t>
  </si>
  <si>
    <t>48.957.013/</t>
  </si>
  <si>
    <t xml:space="preserve">RACUIA </t>
  </si>
  <si>
    <t>RAIA DROGASIL S/A</t>
  </si>
  <si>
    <t>01.754.239/</t>
  </si>
  <si>
    <t>REFRIGERACAO DUFRIO COMERCIO E IMPORTACAO LTDA</t>
  </si>
  <si>
    <t>01.336.140/</t>
  </si>
  <si>
    <t>SATELITAL BRASIL COMERCIO LTDA</t>
  </si>
  <si>
    <t>46.374.500/</t>
  </si>
  <si>
    <t>SECRETARIA DE SAUDE</t>
  </si>
  <si>
    <t>27.932.734/</t>
  </si>
  <si>
    <t>SYNAPCOM COMERCIO ELETRONICO LTDA</t>
  </si>
  <si>
    <t>05.607.657/</t>
  </si>
  <si>
    <t xml:space="preserve">SCANSOURCE </t>
  </si>
  <si>
    <t>07.710.675/</t>
  </si>
  <si>
    <t>SHOPPING GARDEN SUL LTDA</t>
  </si>
  <si>
    <t>11.206.099/</t>
  </si>
  <si>
    <t>SUPERMED COMERCIO</t>
  </si>
  <si>
    <t>59.609.123/</t>
  </si>
  <si>
    <t>SP EQUIPAMENTOS DE PROTEÇÃO AO TRABALHO E MRO LTDA.</t>
  </si>
  <si>
    <t>00.333.976/</t>
  </si>
  <si>
    <t>TATUAPÉ GARDEN PAISAGISMO LTDA</t>
  </si>
  <si>
    <t>04.819.724/</t>
  </si>
  <si>
    <t xml:space="preserve">TELEFONICA TRANSPORTES </t>
  </si>
  <si>
    <t>28.729.609/</t>
  </si>
  <si>
    <t>TODO ES AMOR COMERCIO DE ARTIGOS DE CAMA MESA E BANHO EIRELI</t>
  </si>
  <si>
    <t>10.691.953/</t>
  </si>
  <si>
    <t xml:space="preserve">TORRES CABRAL </t>
  </si>
  <si>
    <t>02.543.945/</t>
  </si>
  <si>
    <t>ULTRAFARMA SAUDE EIRELI</t>
  </si>
  <si>
    <t>11.623.920/</t>
  </si>
  <si>
    <t xml:space="preserve">VANUCCI </t>
  </si>
  <si>
    <t>61.082.491/</t>
  </si>
  <si>
    <t xml:space="preserve">VILLAGE </t>
  </si>
  <si>
    <t>59.104.422/</t>
  </si>
  <si>
    <t>VOLKSWAGEN DO BRASIL INDUSTRIA DE VEICULOS AUTOMOTORES LTDA</t>
  </si>
  <si>
    <t xml:space="preserve">Wms Supermercados do Brasil Ltda.  </t>
  </si>
  <si>
    <t>07.263.762/</t>
  </si>
  <si>
    <t>BIG MAIS SUPERMERCADOS LTDA</t>
  </si>
  <si>
    <t>01.992.041/</t>
  </si>
  <si>
    <t>HAF DISTRIBUIDOR EIRELI</t>
  </si>
  <si>
    <t>72.861.222/</t>
  </si>
  <si>
    <t>SBARDELLINI &amp; CIA LTDA</t>
  </si>
  <si>
    <t>88.616.149/</t>
  </si>
  <si>
    <t>BIG DUTCHMAN BRASIL LTDA</t>
  </si>
  <si>
    <t>12.420.164/</t>
  </si>
  <si>
    <t>CM HOSPITALAR S.A.</t>
  </si>
  <si>
    <t>24.596.331/</t>
  </si>
  <si>
    <t xml:space="preserve">COMERCIAL SIGABIKE LTDA </t>
  </si>
  <si>
    <t>37.713.899/</t>
  </si>
  <si>
    <t>CASA SHOPPING VARIEDADES RIBEIRAO PRETO LTDA</t>
  </si>
  <si>
    <t>71.320.915/</t>
  </si>
  <si>
    <t>COOPERATIVA DOS PLANTADORES DE CANA DO OESTE DO ESTADO DE SA</t>
  </si>
  <si>
    <t>10.877.246/</t>
  </si>
  <si>
    <t>DISLAB COMERCIAL FARMACEUTICA LTDA.</t>
  </si>
  <si>
    <t>03.498.812/</t>
  </si>
  <si>
    <t>EBEG EMBALAGENS E DESCARTAVEIS EIRELI</t>
  </si>
  <si>
    <t>61.190.096/</t>
  </si>
  <si>
    <t>EUROFARMA LABORATORIOS S.A.</t>
  </si>
  <si>
    <t>92.660.406/</t>
  </si>
  <si>
    <t>FRIGELAR COMERCIO E INDUSTRIA LTDA</t>
  </si>
  <si>
    <t>54.519.855/</t>
  </si>
  <si>
    <t>J H GABELLINE MATERIAIS PARA CONSTRUCAO LTDA</t>
  </si>
  <si>
    <t>08.618.022/</t>
  </si>
  <si>
    <t>MEDICAMENTAL DISTRIBUIDORA LTDA</t>
  </si>
  <si>
    <t>MAGAZINE LUIZA S/A</t>
  </si>
  <si>
    <t>64.630.023/</t>
  </si>
  <si>
    <t>METALTINTAS COMÉRCIO DE TINTAS LTDA.</t>
  </si>
  <si>
    <t>02.198.997/</t>
  </si>
  <si>
    <t>RIBERBAO ATACADO DE MATERIAIS PARA CONSTRUCAO LTDA</t>
  </si>
  <si>
    <t>10.680.755/</t>
  </si>
  <si>
    <t>CASA DA VACA PRODUTOS AGROPECUARIOS LTDA.</t>
  </si>
  <si>
    <t>17.823.155/</t>
  </si>
  <si>
    <t>ELETRO CASA NOVA LTDA</t>
  </si>
  <si>
    <t>09.414.534/</t>
  </si>
  <si>
    <t>FORNECEDORA MAIOLINI LTDA</t>
  </si>
  <si>
    <t>LOJAS EDMIL S/A</t>
  </si>
  <si>
    <t>08.698.543/</t>
  </si>
  <si>
    <t>NATUS FARMA COMERCIO DE MEDICAMENTOS LTDA</t>
  </si>
  <si>
    <t>22.229.207/</t>
  </si>
  <si>
    <t>PASTIFÍCIO SANTA AMÁLIA S.A.</t>
  </si>
  <si>
    <t>07.830.036/</t>
  </si>
  <si>
    <t>ZAP DISTRIBUIDORA LTDA</t>
  </si>
  <si>
    <t>03.945.035/</t>
  </si>
  <si>
    <t>ACACIA COMERCIO DE MEDICAMENTOS EIRELI</t>
  </si>
  <si>
    <t>21.560.300/</t>
  </si>
  <si>
    <t>CLUBSUL DISTRIBUIDORA LTDA</t>
  </si>
  <si>
    <t>65.359.911/</t>
  </si>
  <si>
    <t>COMERCIAL &amp; DISTRIBUIDORA THIBABEM LTDA</t>
  </si>
  <si>
    <t>31.418.014/</t>
  </si>
  <si>
    <t>DE MINAS DISTRIBUIDORA DE MATERIAIS PARA CONSTRUCAO LTDA</t>
  </si>
  <si>
    <t>24.821.894/</t>
  </si>
  <si>
    <t>EMPRESAS GOMES LTDA</t>
  </si>
  <si>
    <t>17.943.291/</t>
  </si>
  <si>
    <t>N F SUPERMERCADOS LTDA</t>
  </si>
  <si>
    <t>07.314.311/</t>
  </si>
  <si>
    <t>WELINGTON DE PAULA SCALIONI</t>
  </si>
  <si>
    <t>03.306.661/</t>
  </si>
  <si>
    <t>DELLAS</t>
  </si>
  <si>
    <t>22.069.520/</t>
  </si>
  <si>
    <t xml:space="preserve">SUPERMERCADOS REX LTDA </t>
  </si>
  <si>
    <t>20.706.896/</t>
  </si>
  <si>
    <t>DH COSMETICOS E PERFUMARIA LTDA</t>
  </si>
  <si>
    <t>28.329.748/</t>
  </si>
  <si>
    <t>LEO COSMETICOS - JOINVILLE GARTEN</t>
  </si>
  <si>
    <t>08.435.684/</t>
  </si>
  <si>
    <t>EMBREPAR AUTOMOTIVA LTDA</t>
  </si>
  <si>
    <t>79.379.491/</t>
  </si>
  <si>
    <t>HAVAN LOJA DE DEPARTAMENTOS LTDA</t>
  </si>
  <si>
    <t>07.240.450/</t>
  </si>
  <si>
    <t>APIGUANA MAQUINAS E FERRAMENTAS LTDA</t>
  </si>
  <si>
    <t>07.201.916/</t>
  </si>
  <si>
    <t>ARAUJO CABRAL &amp; ALVES LTDA</t>
  </si>
  <si>
    <t>AUTO NORTE DISTRIBUIDORA DE PECAS LTDA</t>
  </si>
  <si>
    <t>07.965.809/</t>
  </si>
  <si>
    <t>AUTO PECAS PADRE CICERO LTDA</t>
  </si>
  <si>
    <t>04.957.571/</t>
  </si>
  <si>
    <t>AUTOFORT NORDESTE LTDA</t>
  </si>
  <si>
    <t>10.947.389/</t>
  </si>
  <si>
    <t>BAN BAN COMERCIAL DE CALCADOS LTDA</t>
  </si>
  <si>
    <t>24.653.373/</t>
  </si>
  <si>
    <t>BENELUX DISTRIBUIDORA DE ALIMENTOS LTDA</t>
  </si>
  <si>
    <t>07.221.070/</t>
  </si>
  <si>
    <t>BEZERRA &amp; OLIVEIRA COMERCIO DE AUTOPECAS LTDA</t>
  </si>
  <si>
    <t>04.163.766/</t>
  </si>
  <si>
    <t>BOM VIZINHO DISTRIBUIDORA DE ALIMENTOS LTDA.</t>
  </si>
  <si>
    <t>07.550.906/</t>
  </si>
  <si>
    <t>CARVALHO DISTRIBUIDORA DE PRODUTOS DE HIGIENE - EIRELI</t>
  </si>
  <si>
    <t>CENCOSUD BRASIL COMERCIAL LTDA</t>
  </si>
  <si>
    <t>24.073.694/</t>
  </si>
  <si>
    <t>CIL - COMERCIO DE INFORMATICA LTDA</t>
  </si>
  <si>
    <t>45.987.005/</t>
  </si>
  <si>
    <t>COMERCIAL AUTOMOTIVA S.A.</t>
  </si>
  <si>
    <t>09.113.843/</t>
  </si>
  <si>
    <t>COMERCIAL BRASIL DISTRIBUIDORA DE EQUIPAMENTOS DE INFORMATICA LTDA</t>
  </si>
  <si>
    <t>63.473.235/</t>
  </si>
  <si>
    <t>COMERCIAL DE MIUDEZAS FREITAS LTDA</t>
  </si>
  <si>
    <t>72.537.137/</t>
  </si>
  <si>
    <t>COMERCIAL DE RACOES PROD AGROPECUARIOS NORMANDIA LTDA</t>
  </si>
  <si>
    <t>07.667.439/</t>
  </si>
  <si>
    <t>COMERCIAL IBIAPINA LTDA</t>
  </si>
  <si>
    <t>07.228.166/</t>
  </si>
  <si>
    <t>COMERCIAL MAB EIRELI</t>
  </si>
  <si>
    <t>07.577.414/</t>
  </si>
  <si>
    <t>COMERCIAL MAIA LTDA</t>
  </si>
  <si>
    <t>73.741.126/</t>
  </si>
  <si>
    <t>COMERCIO DE BICICLETAS PNEUS E PECAS F M LTDA</t>
  </si>
  <si>
    <t>08.763.467/</t>
  </si>
  <si>
    <t>CONSTRUFORT COMERCIO ATACADISTA DE MATERIAL DE CONSTRUCAO EIRELI</t>
  </si>
  <si>
    <t>41.560.319/</t>
  </si>
  <si>
    <t>COSBEL DISTRIBUIDORA DE COSMETICOS LTDA</t>
  </si>
  <si>
    <t>04.170.821/</t>
  </si>
  <si>
    <t>DELTA COMERCIO DE MOVEIS LTDA</t>
  </si>
  <si>
    <t>27.949.671/</t>
  </si>
  <si>
    <t>DISTRIBUIDORA CONSTRUIR COMERCIO DE MATERIAIS DE CONSTRUCAO EM GERAL LTDA</t>
  </si>
  <si>
    <t>03.720.882/</t>
  </si>
  <si>
    <t>DISTRIBUIDORA DE ALIMENTOS FARTURA S.A.</t>
  </si>
  <si>
    <t>35.065.903/</t>
  </si>
  <si>
    <t>DISTRIBUIDORA MAIA DE MATERIAL DE CONSTRUCAO LTDA</t>
  </si>
  <si>
    <t>16.632.133/</t>
  </si>
  <si>
    <t>DROGUISTA CEARENSE EIRELI</t>
  </si>
  <si>
    <t>09.092.152/</t>
  </si>
  <si>
    <t>EMMARKA DISTRIBUIDORA DE MEDICAMENTOS LTDA</t>
  </si>
  <si>
    <t>06.626.253/</t>
  </si>
  <si>
    <t>EMPREENDIMENTOS PAGUE MENOS S A</t>
  </si>
  <si>
    <t>13.711.159/</t>
  </si>
  <si>
    <t>F F COMERCIO DE VARIEDADAS LTDA</t>
  </si>
  <si>
    <t>08.355.354/</t>
  </si>
  <si>
    <t>FOCUS CONTROLE AMBIENTAL LTDA</t>
  </si>
  <si>
    <t>09.317.318/</t>
  </si>
  <si>
    <t>FORTALI DISTRIBUIDORA DE ALIMENTOS LTDA</t>
  </si>
  <si>
    <t>03.606.595/</t>
  </si>
  <si>
    <t>FORTES DISTRIBUIDORA LTDA</t>
  </si>
  <si>
    <t>04.569.071/</t>
  </si>
  <si>
    <t>FRONTEIRAS DISTRIBUIDORA LTDA</t>
  </si>
  <si>
    <t>08.402.943/</t>
  </si>
  <si>
    <t>GUARARAPES CONFECCOES S/A</t>
  </si>
  <si>
    <t>02.834.171/</t>
  </si>
  <si>
    <t>I L SUPERMERCADOS LTDA</t>
  </si>
  <si>
    <t>04.899.316/</t>
  </si>
  <si>
    <t>IMIFARMA PRODUTOS FARMACEUTICOS E COSMETICOS SA</t>
  </si>
  <si>
    <t>02.748.357/</t>
  </si>
  <si>
    <t>INDUSTRIA CEARENSE DE COLCHOES E ESPUMAS LTDA</t>
  </si>
  <si>
    <t>07.197.122/</t>
  </si>
  <si>
    <t>J ARY TECIDOS LTDA</t>
  </si>
  <si>
    <t>23.827.632/</t>
  </si>
  <si>
    <t>JULIANA SOARES RODRIGUES PINHEIRO</t>
  </si>
  <si>
    <t>07.227.216/</t>
  </si>
  <si>
    <t>LINEA FARGO INDUSTRIA E COMERCIO DE ARTEFATOS DE COURO LTDA</t>
  </si>
  <si>
    <t>04.190.999/</t>
  </si>
  <si>
    <t>MARIA GENI DISTRIBUIDORA DE ARTIGOS DE PAPELARIA LTDA</t>
  </si>
  <si>
    <t>07.029.856/</t>
  </si>
  <si>
    <t>MASTER DISTRIBUIDORA DE ALIMENTOS EIRELI</t>
  </si>
  <si>
    <t>09.267.050/</t>
  </si>
  <si>
    <t>MB COMERCIO DE MATERIAIS DE CONSTRUCAO LTDA</t>
  </si>
  <si>
    <t>00.933.696/</t>
  </si>
  <si>
    <t>MICHEL ABOU ASLY &amp; CIA LTDA</t>
  </si>
  <si>
    <t>07.173.317/</t>
  </si>
  <si>
    <t>NOSSO ESTOQUE DISTRIBUIDORA DE AUTOPECAS LTDA</t>
  </si>
  <si>
    <t>08.318.220/</t>
  </si>
  <si>
    <t>NOVUM DISTRIBUIDORA DE PECAS INDUSTRIAIS E AUTOMOTIVAS LTDA</t>
  </si>
  <si>
    <t>01.206.820/</t>
  </si>
  <si>
    <t>PANPHARMA DISTRIBUIDORA DE MEDICAMENTOS LTDA</t>
  </si>
  <si>
    <t>15.479.829/</t>
  </si>
  <si>
    <t>PE COMERCIO DE TECIDOS LTDA</t>
  </si>
  <si>
    <t>01.740.627/</t>
  </si>
  <si>
    <t>PFM COMERCIAL LTDA</t>
  </si>
  <si>
    <t>05.882.351/</t>
  </si>
  <si>
    <t>R MILET COMERCIO DE CALCADOS LTDA</t>
  </si>
  <si>
    <t>05.065.496/</t>
  </si>
  <si>
    <t>RAMACON DISTRIBUIDORA DE MATERIAL PARA CONSTRUCAO EIRELI</t>
  </si>
  <si>
    <t>35.230.010/</t>
  </si>
  <si>
    <t>REPIFARMA COMERCIAL DE MEDICAMENTOS LTDA</t>
  </si>
  <si>
    <t>05.101.518/</t>
  </si>
  <si>
    <t>RICARDO DE OLIVEIRA CABRAL COSTA</t>
  </si>
  <si>
    <t>01.901.050/</t>
  </si>
  <si>
    <t>RIOSFARMA COMERCIO DE MEDICAMENTOS LTDA</t>
  </si>
  <si>
    <t>05.329.222/</t>
  </si>
  <si>
    <t>SELLENE COMERCIO E REPRESENTACOES LTDA</t>
  </si>
  <si>
    <t>SENDAS DISTRIBUIDORA S/A</t>
  </si>
  <si>
    <t>SK AUTOMOTIVE DISTRIBUIDORA DE AUTOPECAS LTDA</t>
  </si>
  <si>
    <t>07.342.785/</t>
  </si>
  <si>
    <t>SODINE SOCIEDADE DISTRIBUIDORA DO NORDESTE LTDA</t>
  </si>
  <si>
    <t>23.708.712/</t>
  </si>
  <si>
    <t>SOLAR MAGAZINE LTDA</t>
  </si>
  <si>
    <t>08.077.211/</t>
  </si>
  <si>
    <t>T S COMERCIAL DE MEDICAMENTOS E REPRESENTACAO LTDA</t>
  </si>
  <si>
    <t>07.272.825/</t>
  </si>
  <si>
    <t>TECNO INDÚSTRIA E COMÉRCIO DE COMPUTADORES LTDA</t>
  </si>
  <si>
    <t>04.984.598/</t>
  </si>
  <si>
    <t>TOTAL COMERCIO E REPRESENTACAO LTDA</t>
  </si>
  <si>
    <t>08.641.953/</t>
  </si>
  <si>
    <t>TUPAN CONSTRUCOES INDUSTRIA E COMERCIO LTDA</t>
  </si>
  <si>
    <t>VIA VAREJO S/A</t>
  </si>
  <si>
    <t>08.193.994/</t>
  </si>
  <si>
    <t>VULCABRAS DISTRIBUIDORA DE ARTIGOS ESPORTIVOS LTDA</t>
  </si>
  <si>
    <t>00.954.394/</t>
  </si>
  <si>
    <t>VULCABRAS/AZALEIA CE CALCADOS E ARTIGOS ESPORTIVOS S/A</t>
  </si>
  <si>
    <t>34.036.601/</t>
  </si>
  <si>
    <t>2ELETRO COMERCIO E DISTRIBUICAO DE PRODUTOS DE INFORMATICA LTDA.</t>
  </si>
  <si>
    <t>00.070.112/</t>
  </si>
  <si>
    <t>ALL NATIONS COMERCIO EXTERIOR S/A</t>
  </si>
  <si>
    <t>01.910.513/</t>
  </si>
  <si>
    <t>APS DISTRIBUIDORA DE AUTO PECAS E MONTAGEM LTDA</t>
  </si>
  <si>
    <t>28.127.926/</t>
  </si>
  <si>
    <t>ASSOCIACAO EVANGELICA BENEFICENTE ESPIRITO-SANTENSE - AEBES</t>
  </si>
  <si>
    <t>28.137.925/</t>
  </si>
  <si>
    <t>ASSOCIACAO FEMININA DE EDUCACAO E COMBATE AO CANCER</t>
  </si>
  <si>
    <t>27.978.295/</t>
  </si>
  <si>
    <t>ATACADO E DISTRIBUIDORA MARITERRA LTDA</t>
  </si>
  <si>
    <t>39.786.504/</t>
  </si>
  <si>
    <t>BOA PRACA IMPORTADORA E EXPORTADORA LTDA</t>
  </si>
  <si>
    <t>28.480.739/</t>
  </si>
  <si>
    <t>BRESSAN DISTRIBUIDORA DE PECAS E MOTORES LTDA</t>
  </si>
  <si>
    <t>27.751.320/</t>
  </si>
  <si>
    <t>CCB CENTRAL DE COMPRAS DO BRASIL LTDA</t>
  </si>
  <si>
    <t>31.283.047/</t>
  </si>
  <si>
    <t>CEDRES CENTRO DE DOENCAS RENAIS DO ESPIRITO SANTO LTDA</t>
  </si>
  <si>
    <t>28.053.619/</t>
  </si>
  <si>
    <t>CHOCOLATES GAROTO LTDA.</t>
  </si>
  <si>
    <t>COMDIP COMERCIAL DISTRIBUIDORA DE PECAS LTDA</t>
  </si>
  <si>
    <t>02.691.482/</t>
  </si>
  <si>
    <t>COMERCIAL DISKPAN LTDA</t>
  </si>
  <si>
    <t>02.484.348/</t>
  </si>
  <si>
    <t>COMERCIAL LABORSIL LTDA</t>
  </si>
  <si>
    <t>01.785.887/</t>
  </si>
  <si>
    <t>COMERCIAL LITORAL LTDA</t>
  </si>
  <si>
    <t>39.800.339/</t>
  </si>
  <si>
    <t>COMERCIAL SUPERAUDIO LTDA</t>
  </si>
  <si>
    <t>36.325.157/</t>
  </si>
  <si>
    <t>COSTA CAMARGO COMERCIO DE PRODUTOS HOSPITALARES LTDA</t>
  </si>
  <si>
    <t>06.913.480/</t>
  </si>
  <si>
    <t>DIMENSIONAL CENTELHA SOLUCOES LTDA</t>
  </si>
  <si>
    <t>61.490.561/</t>
  </si>
  <si>
    <t>DISTRIBUIDORA AUTOMOTIVA S.A</t>
  </si>
  <si>
    <t>01.107.455/</t>
  </si>
  <si>
    <t>DISTRIBUIDORA BARATELA EIRELI</t>
  </si>
  <si>
    <t>19.574.613/</t>
  </si>
  <si>
    <t>DISTRIBUIDORA BRISA DOCE - EIRELI</t>
  </si>
  <si>
    <t>DISTRIBUIDORA DE MEDICAMENTOS SANTA CRUZ LTDA</t>
  </si>
  <si>
    <t>12.007.184/</t>
  </si>
  <si>
    <t>DISTRIBUIDORA UNICA RIO LTDA</t>
  </si>
  <si>
    <t>09.400.493/</t>
  </si>
  <si>
    <t>DM7 COMERCIO DE BRINQUEDOS LTDA</t>
  </si>
  <si>
    <t>28.129.260/</t>
  </si>
  <si>
    <t>DRIFT COMERCIO DE ALIMENTOS S/A</t>
  </si>
  <si>
    <t>DROGARIAS PACHECO S/A</t>
  </si>
  <si>
    <t>27.870.855/</t>
  </si>
  <si>
    <t>EKIPEI COMERCIO DE ACESSORIOS EIRELI EPP</t>
  </si>
  <si>
    <t>30.784.664/</t>
  </si>
  <si>
    <t>EMIDIO PAIS MATERIAL DE CONSTRUCAO LTDA</t>
  </si>
  <si>
    <t>24.867.555/</t>
  </si>
  <si>
    <t xml:space="preserve">ENGAGE ELETRO </t>
  </si>
  <si>
    <t>08.450.457/</t>
  </si>
  <si>
    <t>EPOCA COM DIST PROD ALIM INDUSTRIALIZADOS LTDA</t>
  </si>
  <si>
    <t>00.085.822/</t>
  </si>
  <si>
    <t>ESPECIFARMA COM MED PROD HOSPITALARES LTDA EPP</t>
  </si>
  <si>
    <t>17.586.530/</t>
  </si>
  <si>
    <t>F &amp; F REFRIGERACAO LTDA</t>
  </si>
  <si>
    <t>13.386.076/</t>
  </si>
  <si>
    <t>F. ASSMANN</t>
  </si>
  <si>
    <t>18.928.881/</t>
  </si>
  <si>
    <t>FARMASEMPRE LOGISTICA DE PRODUTOS DE HIGIENE LIMPEZA E MEDICAMENTOS LTDA</t>
  </si>
  <si>
    <t>27.024.707/</t>
  </si>
  <si>
    <t>FC SONHOS COMERCIO EIRELI ME</t>
  </si>
  <si>
    <t>30.571.749/</t>
  </si>
  <si>
    <t>FIO E FERRO MATERIAIS, SERVICOS E CONSTRUCOES LTDA</t>
  </si>
  <si>
    <t>11.676.923/</t>
  </si>
  <si>
    <t>FMAISPAR DISTRIBUICAO E LOGISTICA DE PRODUTOS DE HIGIENE E LIMPEZA LTDA</t>
  </si>
  <si>
    <t>00.337.010/</t>
  </si>
  <si>
    <t>FORNECEDORA DALLA BERNARDINA LTDA</t>
  </si>
  <si>
    <t>09.316.105/</t>
  </si>
  <si>
    <t>FRIOVIX COMERCIO DE REFRIGERACAO LTDA</t>
  </si>
  <si>
    <t>01.008.713/</t>
  </si>
  <si>
    <t>FUJIOKA ELETRO IMAGEM S.A.</t>
  </si>
  <si>
    <t>04.196.935/</t>
  </si>
  <si>
    <t>GOLDEN DISTRIBUIDORA LTDA</t>
  </si>
  <si>
    <t>07.100.104/</t>
  </si>
  <si>
    <t>HIPER ENTREGAMOS MIX DE MATERIAIS LTDA</t>
  </si>
  <si>
    <t>00.625.711/</t>
  </si>
  <si>
    <t>HOSPITAL MERIDIONAL S.A</t>
  </si>
  <si>
    <t>27.569.847/</t>
  </si>
  <si>
    <t>HOSPITAL SAO LUIZ S/A</t>
  </si>
  <si>
    <t>32.479.164/</t>
  </si>
  <si>
    <t>HOSPITAL UNIVERSITARIO CASSIANO ANTONIO MORAES</t>
  </si>
  <si>
    <t>36.329.936/</t>
  </si>
  <si>
    <t>IDR - INSTITUTO DE DOENCAS RENAIS LTDA</t>
  </si>
  <si>
    <t>09.054.385/</t>
  </si>
  <si>
    <t>INBRANDS S.A</t>
  </si>
  <si>
    <t>07.058.494/</t>
  </si>
  <si>
    <t>INFINITY COMERCIO DE AUTO PECAS EIRELI</t>
  </si>
  <si>
    <t>27.327.915/</t>
  </si>
  <si>
    <t>INSTITUTO CAPIXABA DE DOENCAS RENAIS E HIPERTENSAO LTDA</t>
  </si>
  <si>
    <t>03.436.704/</t>
  </si>
  <si>
    <t>INSTITUTO CAPIXABA DO RIM LTDA</t>
  </si>
  <si>
    <t>03.604.115/</t>
  </si>
  <si>
    <t>INSTITUTO NEFROLOGICO DE GUARAPARI LTDA</t>
  </si>
  <si>
    <t>60.701.190/</t>
  </si>
  <si>
    <t>ITAU UNIBANCO SA</t>
  </si>
  <si>
    <t>13.699.850/</t>
  </si>
  <si>
    <t>J. D. ZINETTI VARIEDADES</t>
  </si>
  <si>
    <t>28.687.826/</t>
  </si>
  <si>
    <t>JETMAX DISTRIBUIDORA EIRELI</t>
  </si>
  <si>
    <t>05.570.714/</t>
  </si>
  <si>
    <t>KABUM COMERCIO ELETRONICO S.A</t>
  </si>
  <si>
    <t>07.569.345/</t>
  </si>
  <si>
    <t>LEONFER COMERCIO E LOGISTICA LTDA</t>
  </si>
  <si>
    <t>27.363.015/</t>
  </si>
  <si>
    <t>LMA COMERCIO LTDA ME</t>
  </si>
  <si>
    <t>30.689.848/</t>
  </si>
  <si>
    <t>LOJAS SIPOLATTI COMERCIO E SERVICOS LTDA</t>
  </si>
  <si>
    <t>03.447.509/</t>
  </si>
  <si>
    <t>LUBE DISTRIBUIDORA LTDA</t>
  </si>
  <si>
    <t>27.330.885/</t>
  </si>
  <si>
    <t>MATERNIDADE SANTA PAULA LTDA</t>
  </si>
  <si>
    <t>04.369.206/</t>
  </si>
  <si>
    <t>MEDIRIM LTDA</t>
  </si>
  <si>
    <t>07.571.746/</t>
  </si>
  <si>
    <t>MG VIDROS AUTOMOTIVOS LTDA</t>
  </si>
  <si>
    <t>00.160.015/</t>
  </si>
  <si>
    <t>MULTI B DISTRIBUIDORA DE PRODUTOS DE BELEZA LTDA</t>
  </si>
  <si>
    <t>08.215.490/</t>
  </si>
  <si>
    <t>MVX COMERCIO ELETRONICO S.A</t>
  </si>
  <si>
    <t>24.415.230/</t>
  </si>
  <si>
    <t xml:space="preserve">NAVARRO DISTRIBUIDORA </t>
  </si>
  <si>
    <t>29.479.604/</t>
  </si>
  <si>
    <t>NOVESETE DISTRIBUIDORA EIRELI</t>
  </si>
  <si>
    <t>14.724.626/</t>
  </si>
  <si>
    <t>NUTRISOLUTION NUTRICAO E COMERCIO DE PRODUTOS HOSPITALARES E ONCOLOGICOS LTDA EPP</t>
  </si>
  <si>
    <t>23.389.397/</t>
  </si>
  <si>
    <t>OKKA COMERCIAL EIRELI</t>
  </si>
  <si>
    <t>10.576.972/</t>
  </si>
  <si>
    <t>ONOFRE ELETRO LTDA</t>
  </si>
  <si>
    <t>07.550.459/</t>
  </si>
  <si>
    <t>ORIONES DISTRIBUIDORA DE MATERIAL DE CONSTRUCAO LTDA</t>
  </si>
  <si>
    <t>35.068.230/</t>
  </si>
  <si>
    <t>PAULA TORRES COMERCIO DE CALCADOS LTDA</t>
  </si>
  <si>
    <t>09.262.527/</t>
  </si>
  <si>
    <t>PLANTEC DISTRIBUIDORA DE PRODUTOS DE TELECOMUNICACOES E INFORMATICA LTDA</t>
  </si>
  <si>
    <t>27.171.883/</t>
  </si>
  <si>
    <t>POLITINTAS LTDA</t>
  </si>
  <si>
    <t>PROFARMA DISTRIB DE PRODUTOS FARMACEUTICOS S/A</t>
  </si>
  <si>
    <t>81.887.838/</t>
  </si>
  <si>
    <t>PROFARMA SPECIALTY S.A</t>
  </si>
  <si>
    <t>28.913.260/</t>
  </si>
  <si>
    <t>REAL DISTRIBUIDORA UNICA RIO COMERCIO DE REFRIGERACAO EIRELI</t>
  </si>
  <si>
    <t>03.845.717/</t>
  </si>
  <si>
    <t>REALMAR DISTRIBUIDORA LTDA</t>
  </si>
  <si>
    <t>REDE ANCORA-ES IMPORTADORA, EXPORTADORA E DISTRIBUIDORA DE AUTO PECAS S/A</t>
  </si>
  <si>
    <t>00.074.569/</t>
  </si>
  <si>
    <t>RIO DE JANEIRO REFRESCOS LTDA</t>
  </si>
  <si>
    <t>05.849.430/</t>
  </si>
  <si>
    <t>RSC COMERCIO DE PECAS PARA CAMINHOES LTDA</t>
  </si>
  <si>
    <t>06.051.948/</t>
  </si>
  <si>
    <t>S L MORAES BE HAPPY BRINQUEDOS EPP</t>
  </si>
  <si>
    <t>10.335.652/</t>
  </si>
  <si>
    <t>SAKA PRESENTES E UTILIDADES LTDA</t>
  </si>
  <si>
    <t>02.101.894/</t>
  </si>
  <si>
    <t>SND DISTRIBUICAO DE PRODUTOS DE INFORMATICA S/A</t>
  </si>
  <si>
    <t>17.325.279/</t>
  </si>
  <si>
    <t>SO FAST.COM COMERCIO DE PRODUTOS ELETRONICOS LTDA - EPP</t>
  </si>
  <si>
    <t>20.273.329/</t>
  </si>
  <si>
    <t>SUDESTE SAUDE DISTRIBUIDORA FARMACEUTICA LTDA EPP</t>
  </si>
  <si>
    <t>39.893.680/</t>
  </si>
  <si>
    <t>SUPERCOMMERCE LTDA</t>
  </si>
  <si>
    <t>27.473.669/</t>
  </si>
  <si>
    <t>SUPERMERCADOS CASAGRANDE LTDA</t>
  </si>
  <si>
    <t>08.351.293/</t>
  </si>
  <si>
    <t>TECH SHOP.COM.BR COMERCIO E SERVICOS DE INFORMATICA LTDA</t>
  </si>
  <si>
    <t>09.253.602/</t>
  </si>
  <si>
    <t>TORINO ATACADO LTDA</t>
  </si>
  <si>
    <t>10.828.939/</t>
  </si>
  <si>
    <t>TRANSPORTADORA E DISTRIBUICAO FAJOR EIRELI</t>
  </si>
  <si>
    <t>19.557.079/</t>
  </si>
  <si>
    <t>UNENTEL SOLUCOES TECNOLOGICAS LTDA</t>
  </si>
  <si>
    <t>09.373.468/</t>
  </si>
  <si>
    <t>USINA DE VENDAS SOLUCOES COMERCIAIS EM DISTRIBUICAO LTDA</t>
  </si>
  <si>
    <t>00.285.753/</t>
  </si>
  <si>
    <t>VENANCIO PRODUTOS FARMACEUTICOS LTDA</t>
  </si>
  <si>
    <t>VESPOR AUTOMOTIVE DIST DE AUTO PECAS LTDA</t>
  </si>
  <si>
    <t>07.296.319/</t>
  </si>
  <si>
    <t>WBR INDUSTRIA E COMERCIO DE VESTUARIO LTDA.</t>
  </si>
  <si>
    <t>07.790.729/</t>
  </si>
  <si>
    <t>ZARB COMERCIO E DISTRIBUIDOR DE ALIMENTOS LTDA</t>
  </si>
  <si>
    <t>07.900.208/</t>
  </si>
  <si>
    <t>ZZAB COMERCIO DE CALCADOS LTDA</t>
  </si>
  <si>
    <t>28.534.402/</t>
  </si>
  <si>
    <t>COMERCIAL CEREALISTA PRETTI LTDA</t>
  </si>
  <si>
    <t>14.954.020/</t>
  </si>
  <si>
    <t>RE INDUSTRIA DE CONFECCOES LTDA</t>
  </si>
  <si>
    <t>08.307.870/</t>
  </si>
  <si>
    <t>SUESBA COMERCIO DE ALIMENTOS LTDA</t>
  </si>
  <si>
    <t>27.364.715/</t>
  </si>
  <si>
    <t>TUCSON CONFECCOES DO VESTUARIO LTDA</t>
  </si>
  <si>
    <t>UNIMARKA DISTRIBUIDORA S/A</t>
  </si>
  <si>
    <t>00.857.492/</t>
  </si>
  <si>
    <t>SOGAMAX DISTRIBUIDORA DE PRODUTOS FARMACEUTICOS LTDA - ME</t>
  </si>
  <si>
    <t>08.241.229/</t>
  </si>
  <si>
    <t>MILFARMA COMERCIAL LTDA</t>
  </si>
  <si>
    <t>08.185.257/</t>
  </si>
  <si>
    <t>ROMACOL ARMAZENS GERAIS LTDA</t>
  </si>
  <si>
    <t>66.737.115/</t>
  </si>
  <si>
    <t>TRALDI M 3 CONFECCAO LTDA</t>
  </si>
  <si>
    <t>51.155.711/</t>
  </si>
  <si>
    <t>Z.S.M. INDUSTRIA DE CONFECCOES LTDA</t>
  </si>
  <si>
    <t>13.459.933/</t>
  </si>
  <si>
    <t>AJN CONFECCOES LTDA</t>
  </si>
  <si>
    <t>11.730.775/</t>
  </si>
  <si>
    <t>AKI COMERCIO DE DOCES - EIRELI</t>
  </si>
  <si>
    <t>34.167.515/</t>
  </si>
  <si>
    <t>ALB COMERCIO DE CALCADOS EIRELI</t>
  </si>
  <si>
    <t>29.069.791/</t>
  </si>
  <si>
    <t>ALCANTARA PAPELARIA LIVRARIA E BRINQUEDOS LTDA</t>
  </si>
  <si>
    <t>18.210.760/</t>
  </si>
  <si>
    <t>ALEGRES LENCOIS, CAMA, MESA E BANHO LTDA</t>
  </si>
  <si>
    <t>30.889.909/</t>
  </si>
  <si>
    <t>ALLCLASS ILHA PLAZA COMERCIO DE ROUPAS LTDA</t>
  </si>
  <si>
    <t>20.664.364/</t>
  </si>
  <si>
    <t>ALLCLASS SANTA CRUZ COMERCIO DE ROUPAS LTDA</t>
  </si>
  <si>
    <t>28.002.112/</t>
  </si>
  <si>
    <t>ALLCLASS TOP IGUACU COMERCIO DE ROUPAS LTDA</t>
  </si>
  <si>
    <t>34.717.216/</t>
  </si>
  <si>
    <t>ALOHA CAMA MESA BANHO EIRELI</t>
  </si>
  <si>
    <t>40.299.810/</t>
  </si>
  <si>
    <t>AM/PM COMESTIVEIS LTDA</t>
  </si>
  <si>
    <t>06.938.784/</t>
  </si>
  <si>
    <t>AMARONE CALCADOS EIRELI</t>
  </si>
  <si>
    <t>26.266.740/</t>
  </si>
  <si>
    <t>AMO FIRST CLASS LTDA</t>
  </si>
  <si>
    <t>33.510.943/</t>
  </si>
  <si>
    <t>AMSTERDAM INDUSTRIA TEXTIL EIRELI</t>
  </si>
  <si>
    <t>04.546.323/</t>
  </si>
  <si>
    <t>ANVEL COMERCIO DE ARTIGOS ESPORTIVOS LTDA</t>
  </si>
  <si>
    <t>10.723.507/</t>
  </si>
  <si>
    <t>AQUI E MELHOR AINDA COMERCIO DE UTILIDADES DO LAR LTDA EPP</t>
  </si>
  <si>
    <t>04.048.649/</t>
  </si>
  <si>
    <t>ARTESAO DO BRILHO INDUSTRIA E CONFECCAO DE ARTIGOS PARA AVIAMENTOS LTDA</t>
  </si>
  <si>
    <t>16.731.862/</t>
  </si>
  <si>
    <t>ATACADAO PAPELEX LTDA</t>
  </si>
  <si>
    <t>29.310.554/</t>
  </si>
  <si>
    <t>ATLAS DE IGUACU DISTRIBUIDORA DE ALIMENTOS LTDA</t>
  </si>
  <si>
    <t>12.981.721/</t>
  </si>
  <si>
    <t>BARRA PAPELARIA LIVRARIA E BRINQUEDOS LTDA</t>
  </si>
  <si>
    <t>31.217.540/</t>
  </si>
  <si>
    <t>BAZAR O AMIGAO DA ALVARENGA LTDA</t>
  </si>
  <si>
    <t>00.493.904/</t>
  </si>
  <si>
    <t>BAZAR O AMIGAO DA CENTRAL LTDA.</t>
  </si>
  <si>
    <t>31.665.672/</t>
  </si>
  <si>
    <t>BAZAR O AMIGAO DA ESTACAO LTDA</t>
  </si>
  <si>
    <t>13.824.253/</t>
  </si>
  <si>
    <t>BAZAR O AMIGAO DA FREGUESIA LTDA.</t>
  </si>
  <si>
    <t>04.460.566/</t>
  </si>
  <si>
    <t>BAZAR O AMIGAO DA PORTELA LTDA</t>
  </si>
  <si>
    <t>30.680.103/</t>
  </si>
  <si>
    <t>BAZAR O AMIGAO DA RIO BRANCO LTDA</t>
  </si>
  <si>
    <t>97.428.577/</t>
  </si>
  <si>
    <t>BAZAR O AMIGAO DA TAQUARA LTDA</t>
  </si>
  <si>
    <t>08.921.804/</t>
  </si>
  <si>
    <t>BAZAR O AMIGAO DE BONSUCESSO LTDA.</t>
  </si>
  <si>
    <t>42.475.475/</t>
  </si>
  <si>
    <t>BAZAR O AMIGAO DE CAMPO GRANDE LTDA</t>
  </si>
  <si>
    <t>86.948.882/</t>
  </si>
  <si>
    <t>BAZAR O AMIGAO DE CASCADURA LTDA - EPP</t>
  </si>
  <si>
    <t>27.364.432/</t>
  </si>
  <si>
    <t>BAZAR O AMIGAO DE GUADALUPE LTDA</t>
  </si>
  <si>
    <t>28.709.904/</t>
  </si>
  <si>
    <t>BAZAR O AMIGAO DE IRAJA LTDA</t>
  </si>
  <si>
    <t>13.847.255/</t>
  </si>
  <si>
    <t xml:space="preserve">Bazar O Amigao de Itaguai Ltda     </t>
  </si>
  <si>
    <t>11.881.757/</t>
  </si>
  <si>
    <t>BAZAR O AMIGAO DE MADUREIRA LTDA</t>
  </si>
  <si>
    <t>07.068.506/</t>
  </si>
  <si>
    <t>BAZAR O AMIGAO DE MERITI LTDA.</t>
  </si>
  <si>
    <t>25.309.974/</t>
  </si>
  <si>
    <t>BAZAR O AMIGAO DE NILOPOLIS LTDA</t>
  </si>
  <si>
    <t>05.852.494/</t>
  </si>
  <si>
    <t>BAZAR O AMIGAO DE NOVA IGUACU LTDA</t>
  </si>
  <si>
    <t>05.779.729/</t>
  </si>
  <si>
    <t>BAZAR O AMIGAO DE SANTA CRUZ LTDA</t>
  </si>
  <si>
    <t>06.005.929/</t>
  </si>
  <si>
    <t>BAZAR O AMIGAO DE SULACAP LTDA</t>
  </si>
  <si>
    <t>13.824.093/</t>
  </si>
  <si>
    <t>BAZAR O AMIGAO DE TERESOPOLIS LTDA</t>
  </si>
  <si>
    <t>32.130.288/</t>
  </si>
  <si>
    <t>BAZAR O AMIGAO DO JARAGUA LTDA</t>
  </si>
  <si>
    <t>33.456.179/</t>
  </si>
  <si>
    <t>BAZAR O AMIGAO DO SAARA LTDA - EPP</t>
  </si>
  <si>
    <t>34.215.614/</t>
  </si>
  <si>
    <t>BAZAR O AMIGAO PATIO MIX ITAGUAI LTDA</t>
  </si>
  <si>
    <t>34.258.419/</t>
  </si>
  <si>
    <t>BAZAR O AMIGAO TOP SHOPPING IGUACU LTDA</t>
  </si>
  <si>
    <t>32.583.318/</t>
  </si>
  <si>
    <t>BBKIRK COMERCIO DE CALCADOS BOLSAS E ACESSORIOS EIRELI</t>
  </si>
  <si>
    <t>11.405.670/</t>
  </si>
  <si>
    <t>BC 1963 CONFECCOES LTDA</t>
  </si>
  <si>
    <t>18.999.509/</t>
  </si>
  <si>
    <t>BENFEITOS LENCOIS, CAMA, MESA E BANHO LTDA</t>
  </si>
  <si>
    <t>21.752.632/</t>
  </si>
  <si>
    <t>BIANCO LENCOIS, CAMA, MESA E BANHO LTDA</t>
  </si>
  <si>
    <t>12.656.381/</t>
  </si>
  <si>
    <t>BONITOS LENCOIS, CAMA, MESA E BANHO LTDA</t>
  </si>
  <si>
    <t>10.791.776/</t>
  </si>
  <si>
    <t>BONS LENCOIS, CAMA, MESA E BANHO LTDA</t>
  </si>
  <si>
    <t>BOTTINO MAT DE CONSTRUÇAO LTDA</t>
  </si>
  <si>
    <t>28.587.707/</t>
  </si>
  <si>
    <t>BRAZILINE INDUSTRIA E COMERCIO LTDA</t>
  </si>
  <si>
    <t>12.093.445/</t>
  </si>
  <si>
    <t>BROCKTON INDUSTRIA E COMERCIO DE VESTUARIO E FACCOES LTDA</t>
  </si>
  <si>
    <t>12.039.358/</t>
  </si>
  <si>
    <t>CAMPEAO 2010 DAS EMBALAGENS LTDA</t>
  </si>
  <si>
    <t>08.655.485/</t>
  </si>
  <si>
    <t>CAMPO PAPELARIA LIVRARIA E BRINQUEDOS LTDA</t>
  </si>
  <si>
    <t>CARREFOUR COMERCIO E INDUSTRIA LTDA</t>
  </si>
  <si>
    <t>CASA &amp; VIDEO RIO DE JANEIRO S.A.</t>
  </si>
  <si>
    <t>08.638.790/</t>
  </si>
  <si>
    <t>CCN - COMERCIAL CENTRO NORTE ALIMENTOS LTDA</t>
  </si>
  <si>
    <t>15.783.211/</t>
  </si>
  <si>
    <t>CEM POR CENTO AMIZADE COMERCIO DE ROUPAS LTDA</t>
  </si>
  <si>
    <t>26.703.832/</t>
  </si>
  <si>
    <t>CEM POR CENTO FELICIDADE COMERCIO DE ROUPAS LTDA</t>
  </si>
  <si>
    <t>16.525.629/</t>
  </si>
  <si>
    <t>CEM POR CENTO PAIXAO COMERCIO DE ROUPAS LTDA</t>
  </si>
  <si>
    <t>09.611.669/</t>
  </si>
  <si>
    <t>CIDADE MARAVILHOSA INDUSTRIA E COMERCIO DE ROUPAS LTDA</t>
  </si>
  <si>
    <t>28.801.060/</t>
  </si>
  <si>
    <t>CIDIX INDUSTRIA E COMERCIO DE PAES EIRELI</t>
  </si>
  <si>
    <t>40.432.544/</t>
  </si>
  <si>
    <t>CLARO S.A.</t>
  </si>
  <si>
    <t>07.170.938/</t>
  </si>
  <si>
    <t>CNOVA COMERCIO ELETRONICO S.A.</t>
  </si>
  <si>
    <t>28.448.734/</t>
  </si>
  <si>
    <t>COLECAO LARISSA MODAS LTDA</t>
  </si>
  <si>
    <t>28.441.049/</t>
  </si>
  <si>
    <t>COLECAO NICOLE LTDA</t>
  </si>
  <si>
    <t>57.158.057/</t>
  </si>
  <si>
    <t>COMERCIAL ELETRICA P.J.LTDA</t>
  </si>
  <si>
    <t>09.437.886/</t>
  </si>
  <si>
    <t>COMERCIAL HILLO BRASIL LTDA</t>
  </si>
  <si>
    <t>72.372.998/</t>
  </si>
  <si>
    <t>COMPANHIA PORTUARIA BAIA DE SEPETIBA</t>
  </si>
  <si>
    <t>09.245.196/</t>
  </si>
  <si>
    <t>COPA E XAVIER MODAS E MAGAZINE LTDA</t>
  </si>
  <si>
    <t>13.057.643/</t>
  </si>
  <si>
    <t>CORDEIRO PAPELARIA LIVRARIA E BRINQUEDOS LTDA</t>
  </si>
  <si>
    <t>22.137.853/</t>
  </si>
  <si>
    <t>COTY BRASIL COMERCIO LTDA.</t>
  </si>
  <si>
    <t>34.895.218/</t>
  </si>
  <si>
    <t>CRDO COMERCIO DE CALCADOS EIRELI</t>
  </si>
  <si>
    <t>28.823.805/</t>
  </si>
  <si>
    <t>CREACOES OPCAO LTDA</t>
  </si>
  <si>
    <t>21.500.166/</t>
  </si>
  <si>
    <t>CROTS INDUSTRIA DE MOVEIS LTDA</t>
  </si>
  <si>
    <t>34.599.148/</t>
  </si>
  <si>
    <t>CT TANQUE COMERCIO DE ROUPAS LTDA</t>
  </si>
  <si>
    <t>12.941.855/</t>
  </si>
  <si>
    <t>DADI COMERCIO DE MOVEIS E DECORACOES EIRELI</t>
  </si>
  <si>
    <t>07.519.422/</t>
  </si>
  <si>
    <t>DAQUI COMECOU O SONHO COMERCIO DE ROUPAS LTDA</t>
  </si>
  <si>
    <t>25.079.813/</t>
  </si>
  <si>
    <t>DCN SAPATOS LTDA</t>
  </si>
  <si>
    <t>27.875.270/</t>
  </si>
  <si>
    <t>DEMOROU MAS CHEGOU COMERCIO DE ROUPAS EIRELI</t>
  </si>
  <si>
    <t>04.674.136/</t>
  </si>
  <si>
    <t>DIGONAN COMERCIO DE ROUPAS LTDA</t>
  </si>
  <si>
    <t>04.286.673/</t>
  </si>
  <si>
    <t>DIME DISTRIBUIDORA COMERCIO IMPORTACAO E EXPORTACAO LTDA</t>
  </si>
  <si>
    <t>05.999.089/</t>
  </si>
  <si>
    <t>DISLAB RJ COMERCIAL FARMACEUTICA LTDA</t>
  </si>
  <si>
    <t>DISTRIBUIDORA GAMA LTDA</t>
  </si>
  <si>
    <t>09.296.436/</t>
  </si>
  <si>
    <t>DISTRIBUIDORA L C CLAVERY DE MATERIAIS DE CONSTRUCAO LTDA</t>
  </si>
  <si>
    <t>03.397.652/</t>
  </si>
  <si>
    <t>DKRO COMERCIO DE ROUPAS LTDA-ME</t>
  </si>
  <si>
    <t>DS LOG COMERCIO DE CALCADOS LTDA</t>
  </si>
  <si>
    <t>00.739.604/</t>
  </si>
  <si>
    <t>E E C MOURA BAZAR E PAPELARIA LTDA</t>
  </si>
  <si>
    <t>31.258.536/</t>
  </si>
  <si>
    <t>EDAMO PRESENTES E PAPEIS LTDA</t>
  </si>
  <si>
    <t>10.748.214/</t>
  </si>
  <si>
    <t>EMANUEL COMERCIO DE GENEROS ALIMENTICIOS LTDA</t>
  </si>
  <si>
    <t>09.132.659/</t>
  </si>
  <si>
    <t>EMBRATEL TVSAT TELECOMUNICACOES SA</t>
  </si>
  <si>
    <t>12.049.403/</t>
  </si>
  <si>
    <t>EMBREPAR DO BRASIL - EIRELI</t>
  </si>
  <si>
    <t>32.130.304/</t>
  </si>
  <si>
    <t>EMEFARMA RIO REPRESENTACOES LTDA</t>
  </si>
  <si>
    <t>33.249.046/</t>
  </si>
  <si>
    <t>ENERGISA NOVA FRIBURGO - DISTRIBUIDORA DE ENERGIA S.A.</t>
  </si>
  <si>
    <t>13.646.036/</t>
  </si>
  <si>
    <t>ERA AQUI QUE EU QUERIA COMERCIO DE ROUPAS LTDA</t>
  </si>
  <si>
    <t>15.697.126/</t>
  </si>
  <si>
    <t>ERA PRA SER ESTA COMERCIO DE ROUPAS LTDA</t>
  </si>
  <si>
    <t>29.023.268/</t>
  </si>
  <si>
    <t>EROS CAMEBA E SONHOS LTDA</t>
  </si>
  <si>
    <t>19.189.886/</t>
  </si>
  <si>
    <t>ESSA E A PRIMEIRA CAMA, MESA, BANHO E SONHOS LTDA.</t>
  </si>
  <si>
    <t>28.483.159/</t>
  </si>
  <si>
    <t>F.C. CAMA, MESA, BANHO E ARTIGOS DO VESTUARIO LTDA</t>
  </si>
  <si>
    <t>28.807.253/</t>
  </si>
  <si>
    <t>FABRICA DE TELAS SAO JORGE LTDA</t>
  </si>
  <si>
    <t>02.895.152/</t>
  </si>
  <si>
    <t>FABRICADORA DE POLIURETANO RIO SUL LTDA</t>
  </si>
  <si>
    <t>16.691.059/</t>
  </si>
  <si>
    <t>FAMART DISTRIBUIDORA DE FERRAGENS LTDA</t>
  </si>
  <si>
    <t>10.803.850/</t>
  </si>
  <si>
    <t>FAZENDO DIREITO COMERCIO DE ROUPAS LTDA</t>
  </si>
  <si>
    <t>21.050.863/</t>
  </si>
  <si>
    <t>FC FRIBURGO COMERCIO DE CAMA MESA E BANHO LTDA</t>
  </si>
  <si>
    <t>FERRAGENS RAMADA LIMITADA</t>
  </si>
  <si>
    <t>27.816.057/</t>
  </si>
  <si>
    <t>FIBROLAR MADEIRAS E COMPENSADOS LTDA</t>
  </si>
  <si>
    <t>30.588.924/</t>
  </si>
  <si>
    <t>FIRST FE FMPP COMERCIO DE ROUPAS LTDA</t>
  </si>
  <si>
    <t>14.309.687/</t>
  </si>
  <si>
    <t>FJD COMERCIO DE ROUPAS EIRELI</t>
  </si>
  <si>
    <t>11.146.466/</t>
  </si>
  <si>
    <t>FLORIPA INDUSTRIA E COMERCIO DE ROUPAS LTDA</t>
  </si>
  <si>
    <t>FORNECEDORA CHATUBA DE NILOPOLIS S.A.</t>
  </si>
  <si>
    <t>25.036.392/</t>
  </si>
  <si>
    <t>FRONERI BRASIL DISTRIBUIDORA DE SORVETES E CONGELADOS LTDA.</t>
  </si>
  <si>
    <t>25.062.706/</t>
  </si>
  <si>
    <t>FRONERI BRASIL INDUSTRIAL DE SORVETES E CONGELADOS LTDA</t>
  </si>
  <si>
    <t>29.945.555/</t>
  </si>
  <si>
    <t>GAVEA FLA ARTIGOS DO VESTUARIO E ACESSORIOS ESPORTIVOS LTDA</t>
  </si>
  <si>
    <t>14.931.574/</t>
  </si>
  <si>
    <t>GAVEA PRIMEIRA CLASSE COMERCIO DE ROUPAS LTDA-EPP</t>
  </si>
  <si>
    <t>35.000.952/</t>
  </si>
  <si>
    <t>GEGE FIRST CLASS ARTIGOS DE CAMA, MESA E BANHO EIRELI</t>
  </si>
  <si>
    <t>GLOBAL DISTRIBUICAO DE BENS DE CONSUMO LTDA</t>
  </si>
  <si>
    <t>13.644.704/</t>
  </si>
  <si>
    <t>H3 COMERCIO DISTRIBUIDORA DE MERCADORIAS EM GERAL EIRELI</t>
  </si>
  <si>
    <t>22.406.588/</t>
  </si>
  <si>
    <t>HGD INDUSTRIA E COMERCIO DE AVIAMENTO E TECIDOS LTDA</t>
  </si>
  <si>
    <t>04.492.129/</t>
  </si>
  <si>
    <t>HGF EXTRADA HIPER SHOPPING EIRELI</t>
  </si>
  <si>
    <t>27.160.045/</t>
  </si>
  <si>
    <t>HJ COMERCIO DE CALCADOS LTDA</t>
  </si>
  <si>
    <t>83.817.858/</t>
  </si>
  <si>
    <t>HOME CENTER BRASIL MATERIAIS PARA CONSTRUCAO LTDA</t>
  </si>
  <si>
    <t>31.487.473/</t>
  </si>
  <si>
    <t>HORTIGIL HORTIFRUTI S.A.</t>
  </si>
  <si>
    <t>07.905.345/</t>
  </si>
  <si>
    <t>IGUACU UTILIDADES E PAPELARIA LTDA</t>
  </si>
  <si>
    <t>26.520.548/</t>
  </si>
  <si>
    <t>J M A SONHO REAL CAMA MESA E BANHO LTDA.</t>
  </si>
  <si>
    <t>00.085.834/</t>
  </si>
  <si>
    <t>J&amp;L ENXOVAIS BARRA EIRELI</t>
  </si>
  <si>
    <t>08.365.731/</t>
  </si>
  <si>
    <t>J. ARAUJO DISTRIBUIDORA IMPORTACAO E EXPORTACAO S.A</t>
  </si>
  <si>
    <t>08.743.025/</t>
  </si>
  <si>
    <t>JESMOND COMERCIO VAREJISTA LTDA.</t>
  </si>
  <si>
    <t>25.912.524/</t>
  </si>
  <si>
    <t>K X DE MELLO CAMA MESA E BANHO</t>
  </si>
  <si>
    <t>31.013.325/</t>
  </si>
  <si>
    <t>KAKA COMERCIO DE ARTIGOS DE CAMA MESA E BANHO LTDA</t>
  </si>
  <si>
    <t>14.095.992/</t>
  </si>
  <si>
    <t>KIRKFREITAS COMERCIO DE CALCADOS, ROUPAS E ACESSORIOS LTDA.</t>
  </si>
  <si>
    <t>10.859.506/</t>
  </si>
  <si>
    <t>L BROS COMERCIO DE MOVEIS EIRELI</t>
  </si>
  <si>
    <t>05.043.074/</t>
  </si>
  <si>
    <t>L. A. ARAUJO ARMARINHO LTDA</t>
  </si>
  <si>
    <t>05.953.543/</t>
  </si>
  <si>
    <t>L.L.E. FERRAGENS LTDA.</t>
  </si>
  <si>
    <t>04.163.519/</t>
  </si>
  <si>
    <t>LEGABRI UTILIDADES DO LAR LTDA</t>
  </si>
  <si>
    <t>34.905.543/</t>
  </si>
  <si>
    <t>LGO COMERCIO DE CALCADOS EIRELI</t>
  </si>
  <si>
    <t>17.624.789/</t>
  </si>
  <si>
    <t>LINEA-RJ COMERCIO LTDA</t>
  </si>
  <si>
    <t>34.256.731/</t>
  </si>
  <si>
    <t>LJG CAMA, MESA E BANHO LTDA</t>
  </si>
  <si>
    <t>08.381.155/</t>
  </si>
  <si>
    <t>LNG 10 CONFECCOES LTDA</t>
  </si>
  <si>
    <t>28.732.200/</t>
  </si>
  <si>
    <t>LOJAS SANTOS VAREJO E DISTRIBUICAO LTDA</t>
  </si>
  <si>
    <t>01.539.355/</t>
  </si>
  <si>
    <t>LUA DE MEL ENXOVAIS LTDA</t>
  </si>
  <si>
    <t>13.314.290/</t>
  </si>
  <si>
    <t>M E I Com Atacadista de Conf E Ut G</t>
  </si>
  <si>
    <t>10.997.029/</t>
  </si>
  <si>
    <t>M.R.T. COMERCIO VAREJISTA DE ARTIGOS DO VESTUARIO E ACESSORIOS LTDA</t>
  </si>
  <si>
    <t>20.812.423/</t>
  </si>
  <si>
    <t>MAC IPANEMA COMERCIO DE CALCADOS EIRELI</t>
  </si>
  <si>
    <t>07.669.173/</t>
  </si>
  <si>
    <t>MAGAZZINO DISTRIBUIDORA DE ALIMENTOS LTDA</t>
  </si>
  <si>
    <t>MAKRO ATACADISTA S.A</t>
  </si>
  <si>
    <t>09.635.794/</t>
  </si>
  <si>
    <t>MDR PAPELARIA E LIVRARIA LTDA</t>
  </si>
  <si>
    <t>15.024.925/</t>
  </si>
  <si>
    <t>ME CHAMA QUE EU VOU COMERCIO DE ROUPAS LTDA</t>
  </si>
  <si>
    <t>19.963.587/</t>
  </si>
  <si>
    <t>MELHOR PRESENTE COMERCIO DE ROUPAS EIRELI</t>
  </si>
  <si>
    <t>13.042.465/</t>
  </si>
  <si>
    <t>MENDES PAPELARIA LIVRARIA E BRINQUEDOS LTDA</t>
  </si>
  <si>
    <t>29.073.698/</t>
  </si>
  <si>
    <t>MERITI PAPELARIA LIVRARIA E BRINQUEDOS LTDA</t>
  </si>
  <si>
    <t>09.363.450/</t>
  </si>
  <si>
    <t>MF 2008 COMERCIAL MODAS LTDA</t>
  </si>
  <si>
    <t>02.632.609/</t>
  </si>
  <si>
    <t>MILLENIUM - COMERCIAL LTDA</t>
  </si>
  <si>
    <t>97.544.848/</t>
  </si>
  <si>
    <t>MN ARMAZENS GERAIS LTDA</t>
  </si>
  <si>
    <t>03.936.898/</t>
  </si>
  <si>
    <t>MOREIA CALCADOS EIRELI</t>
  </si>
  <si>
    <t>24.092.955/</t>
  </si>
  <si>
    <t>MRTB INDUSTRIAL DE MODAS EIRELI</t>
  </si>
  <si>
    <t>34.126.361/</t>
  </si>
  <si>
    <t>MULTI ATACADO E VAREJO DE UTILIDADES DO LAR LTDA</t>
  </si>
  <si>
    <t>27.296.397/</t>
  </si>
  <si>
    <t>MUSME CAMA MESA BANHO E SONHOS EIRELI</t>
  </si>
  <si>
    <t>02.821.176/</t>
  </si>
  <si>
    <t>N. N. G. CONFECCOES LTDA</t>
  </si>
  <si>
    <t>07.230.151/</t>
  </si>
  <si>
    <t>NEWANE COMERCIO DE ROUPAS EIRELI</t>
  </si>
  <si>
    <t>10.952.249/</t>
  </si>
  <si>
    <t>NOVA FRANCLASS COMERCIO DE ROUPAS EIRELI</t>
  </si>
  <si>
    <t>13.594.751/</t>
  </si>
  <si>
    <t>NOVA GERACAO COMESTIVEIS LTDA</t>
  </si>
  <si>
    <t>35.190.970/</t>
  </si>
  <si>
    <t>NUNCA FOI SORTE SEMPRE FOI DEUS - CAMA, MESA E BANHO LTDA</t>
  </si>
  <si>
    <t>22.494.921/</t>
  </si>
  <si>
    <t>NUTRIPACK COMERCIO DE PRODUTOS DESCARTAVEIS LTDA</t>
  </si>
  <si>
    <t>61.123.543/</t>
  </si>
  <si>
    <t>ODAPEL-DISTRIBUIDORA DE AUTO PECAS LTDA</t>
  </si>
  <si>
    <t>05.423.963/</t>
  </si>
  <si>
    <t>OI MOVEL S.A. - EM RECUPERACAO JUDICIAL</t>
  </si>
  <si>
    <t>07.638.491/</t>
  </si>
  <si>
    <t>PAF UTILIDADES E PRESENTES LTDA</t>
  </si>
  <si>
    <t>06.037.627/</t>
  </si>
  <si>
    <t>PAPELARIA E BAZAR MATRIZ DE MERITI LTDA</t>
  </si>
  <si>
    <t>05.214.053/</t>
  </si>
  <si>
    <t>PARCO COMERCIO E SERVICOS LTDA</t>
  </si>
  <si>
    <t>PBKIDS BRINQUEDOS LTDA.</t>
  </si>
  <si>
    <t>04.956.867/</t>
  </si>
  <si>
    <t>PCHRIS COMERCIO DE ROUPAS LTDA</t>
  </si>
  <si>
    <t>PETROLEO BRASILEIRO S A PETROBRAS</t>
  </si>
  <si>
    <t>04.247.792/</t>
  </si>
  <si>
    <t>PONTELAND DISTRIBUICAO SA</t>
  </si>
  <si>
    <t>15.385.827/</t>
  </si>
  <si>
    <t>PRIMA COMERCIO DE CALCADOS E ACESSORIOS EIRELI</t>
  </si>
  <si>
    <t>03.375.396/</t>
  </si>
  <si>
    <t>PRIMU'S RIO COMERCIO DE UTILIDADES DO LAR EIRELI</t>
  </si>
  <si>
    <t>59.476.770/</t>
  </si>
  <si>
    <t>PROCTER &amp; GAMBLE DO BRASIL LTDA.</t>
  </si>
  <si>
    <t>34.684.707/</t>
  </si>
  <si>
    <t>PURA PERSISTENCIA COMERCIO DE ROUPAS LTDA</t>
  </si>
  <si>
    <t>REDE ANCORA-RJ IMPORTADORA EXPORTADORA E DISTRIBUIDORA DE AUTO PECAS S/A</t>
  </si>
  <si>
    <t>34.145.145/</t>
  </si>
  <si>
    <t>REQ TOWN COMERCIO DE ROUPAS EIRELI</t>
  </si>
  <si>
    <t>28.143.873/</t>
  </si>
  <si>
    <t>RIO DROG'S DISTRIBUIDORA DE PRODUTOS QUIMICOS, FARMACEUTICOS E PERFUMARIA LTDA.</t>
  </si>
  <si>
    <t>08.969.770/</t>
  </si>
  <si>
    <t>RIO QUALITY COMERCIO DE ALIMENTOS LTDA</t>
  </si>
  <si>
    <t>10.707.812/</t>
  </si>
  <si>
    <t>RMT INDUSTRIA DE ARTIGOS DO VESTUARIO E ACESSORIOS LTDA</t>
  </si>
  <si>
    <t>20.089.094/</t>
  </si>
  <si>
    <t>ROUPAS COM REQUINTE COMERCIO VAREJISTA EIRELI</t>
  </si>
  <si>
    <t>14.541.273/</t>
  </si>
  <si>
    <t>S 7 COMERCIO DE PRODUTOS PARA VIDRACARIA E MARMORARIA LTDA</t>
  </si>
  <si>
    <t>33.932.965/</t>
  </si>
  <si>
    <t>SANTA CRUZ PAPELARIA LIVRARIA E BRINQUEDOS LTDA</t>
  </si>
  <si>
    <t>67.945.071/</t>
  </si>
  <si>
    <t>SAPORE S.A.</t>
  </si>
  <si>
    <t>31.555.733/</t>
  </si>
  <si>
    <t>SARGENTO FERRAGENS LTDA</t>
  </si>
  <si>
    <t>19.917.832/</t>
  </si>
  <si>
    <t>SEGUINDO OS PASSOS COMERCIO DE ROUPAS LTDA</t>
  </si>
  <si>
    <t>08.596.854/</t>
  </si>
  <si>
    <t>SEREDE - SERVICOS DE REDE S.A.</t>
  </si>
  <si>
    <t>11.457.550/</t>
  </si>
  <si>
    <t>SIMARIDA COMERCIAL DE MODAS LTDA</t>
  </si>
  <si>
    <t>33.859.493/</t>
  </si>
  <si>
    <t>SMC COMERCIO DE CALCADOS EIRELI</t>
  </si>
  <si>
    <t>29.587.623/</t>
  </si>
  <si>
    <t>SO TINTAS TERESOPOLIS LIMITADA</t>
  </si>
  <si>
    <t>35.848.201/</t>
  </si>
  <si>
    <t>SOGG COMERCIO DE CALCADOS EIRELI</t>
  </si>
  <si>
    <t>33.381.286/</t>
  </si>
  <si>
    <t>SUPER MERCADO ZONA SUL S A</t>
  </si>
  <si>
    <t>09.266.890/</t>
  </si>
  <si>
    <t>SUPERACAO DISTRIBUIDORA LTDA-EPP</t>
  </si>
  <si>
    <t>04.970.169/</t>
  </si>
  <si>
    <t>SUPERMERCADO NOVO REGINA DE TERESOPOLIS LTDA</t>
  </si>
  <si>
    <t>02.618.563/</t>
  </si>
  <si>
    <t>SUPERPRIX LOJAS DE ALIMENTOS LTDA</t>
  </si>
  <si>
    <t>08.306.459/</t>
  </si>
  <si>
    <t>TALHOS E RETALHOS ATELIER - CONFECCAO DE ROUPAS LTDA.</t>
  </si>
  <si>
    <t>19.096.620/</t>
  </si>
  <si>
    <t>TAVARES - COMERCIO ATACADISTA DE ARTIGOS DE VESTUARIOS, ACESSORIOS E UTENSILIOS EM GERAL LTDA.</t>
  </si>
  <si>
    <t>33.000.118/</t>
  </si>
  <si>
    <t>TELEMAR NORTE LESTE S/A. - EM RECUPERACAO JUDICIAL</t>
  </si>
  <si>
    <t>35.943.604/</t>
  </si>
  <si>
    <t>TERRAS DE AVENTURA INDUSTRIA DE ARTIGOS ESPORTIVOS S A</t>
  </si>
  <si>
    <t>07.308.705/</t>
  </si>
  <si>
    <t>TIFERET COMERCIO DE ROUPAS LTDA</t>
  </si>
  <si>
    <t>31.683.226/</t>
  </si>
  <si>
    <t>TK HOME CAMA MESA BANHO E SONHOS LTDA</t>
  </si>
  <si>
    <t>33.205.687/</t>
  </si>
  <si>
    <t>TMJ CAMA BANHO E SONHOS LTDA</t>
  </si>
  <si>
    <t>30.848.516/</t>
  </si>
  <si>
    <t>ULTRA BOOST COMERCIO DE CALCADOS LTDA</t>
  </si>
  <si>
    <t>UNIAO DE LOJAS LEADER SA</t>
  </si>
  <si>
    <t>29.427.465/</t>
  </si>
  <si>
    <t>UNIVERSIDADE FEDERAL RURAL DO RIO DE JANEIRO</t>
  </si>
  <si>
    <t>12.324.723/</t>
  </si>
  <si>
    <t>V. C. FERRAGENS LTDA</t>
  </si>
  <si>
    <t>17.960.522/</t>
  </si>
  <si>
    <t>V. S. CALVANO COMERCIO DE ROUPAS EIRELI</t>
  </si>
  <si>
    <t>10.386.842/</t>
  </si>
  <si>
    <t>VAI QUE DA CERTO COMERCIO DE ROUPAS LTDA</t>
  </si>
  <si>
    <t>10.883.824/</t>
  </si>
  <si>
    <t>VIA URCA COMERCIO DE CALCADOS E VESTUARIO - EIRELI</t>
  </si>
  <si>
    <t>02.086.906/</t>
  </si>
  <si>
    <t>VICPLAS COMERCIO DE PLASTICOS INDUSTRIAIS LTDA</t>
  </si>
  <si>
    <t>10.233.159/</t>
  </si>
  <si>
    <t>VLN CONFECCOES LTDA</t>
  </si>
  <si>
    <t>42.120.394/</t>
  </si>
  <si>
    <t>WAYNE INDUSTRIA E COMERCIO LTDA.</t>
  </si>
  <si>
    <t xml:space="preserve">Zamboni Comercial Sa               </t>
  </si>
  <si>
    <t>05.027.195/</t>
  </si>
  <si>
    <t>ZINZANE COMERCIO E CONFECCAO DE VESTUARIO LTDA</t>
  </si>
  <si>
    <t>33.044.983/</t>
  </si>
  <si>
    <t>A IMPECAVEL ROUPAS LTDA</t>
  </si>
  <si>
    <t>15.767.342/</t>
  </si>
  <si>
    <t>ACREDITANDO EM SONHOS COMERCIO DE ROUPAS EIRELI</t>
  </si>
  <si>
    <t>42.274.696/</t>
  </si>
  <si>
    <t>ADIDAS DO BRASIL LTDA</t>
  </si>
  <si>
    <t>18.628.654/</t>
  </si>
  <si>
    <t>ALLCLASS BONSUCESSO COMERCIO DE ROUPAS LTDA</t>
  </si>
  <si>
    <t>18.919.529/</t>
  </si>
  <si>
    <t>ALLCLASS NILOPOLIS COMERCIO DE ROUPAS EIRELI</t>
  </si>
  <si>
    <t>35.447.113/</t>
  </si>
  <si>
    <t>ALLCLASS NOVA IGUACU COMERCIO DE ROUPAS LTDA</t>
  </si>
  <si>
    <t>05.633.217/</t>
  </si>
  <si>
    <t>BAZAR O AMIGAO DA TIJUCA LTDA</t>
  </si>
  <si>
    <t>C&amp;A MODAS S.A.</t>
  </si>
  <si>
    <t>19.142.808/</t>
  </si>
  <si>
    <t>CHINATOWN COMERCIO ATACADISTA DE UTILIDADES DO LAR LTDA</t>
  </si>
  <si>
    <t>61.486.650/</t>
  </si>
  <si>
    <t>DIAGNOSTICOS DA AMERICA S.A .</t>
  </si>
  <si>
    <t>13.372.100/</t>
  </si>
  <si>
    <t>E SO O COMECO COMERCIO DE ROUPAS LTDA</t>
  </si>
  <si>
    <t>02.222.970/</t>
  </si>
  <si>
    <t>ELO 10 DISTRIBUIDORA DE FERRAGENS LTDA</t>
  </si>
  <si>
    <t>00.104.579/</t>
  </si>
  <si>
    <t>EMQUARE DISTRIBUIDORA DE MATERIAIS DE CONSTRUCAO LTDA</t>
  </si>
  <si>
    <t>06.772.283/</t>
  </si>
  <si>
    <t>ESTOQUE DA BAIXADA DISTRIBUIDORA DE FERRAGENS LTDA</t>
  </si>
  <si>
    <t>07.584.292/</t>
  </si>
  <si>
    <t>FC LINGERIE CARLA COMERCIO DE ROUPAS EIRELI ME</t>
  </si>
  <si>
    <t>14.458.674/</t>
  </si>
  <si>
    <t>FLUZAO ATACADAO DA CONSTRUCAO LTDA</t>
  </si>
  <si>
    <t>05.346.644/</t>
  </si>
  <si>
    <t>IAP COSMETICOS LTDA.</t>
  </si>
  <si>
    <t>29.345.741/</t>
  </si>
  <si>
    <t>IB COMERCIO E INDUSTRIA LTDA</t>
  </si>
  <si>
    <t>60.444.437/</t>
  </si>
  <si>
    <t>LIGHT SERVICOS DE ELETRICIDADE S A</t>
  </si>
  <si>
    <t>02.179.579/</t>
  </si>
  <si>
    <t>PAULA E ANDRE MODAS LTDA</t>
  </si>
  <si>
    <t>02.037.933/</t>
  </si>
  <si>
    <t>RAVEL COMERCIAL E DISTRIBUIDORA LTDA</t>
  </si>
  <si>
    <t>23.349.620/</t>
  </si>
  <si>
    <t>RIBEIRO ATACADO DE FERRAGENS LTDA</t>
  </si>
  <si>
    <t>23.637.158/</t>
  </si>
  <si>
    <t>RRC COMERCIO E DISTRIBUICAO DE CONFECCOES EIRELI</t>
  </si>
  <si>
    <t>02.558.157/</t>
  </si>
  <si>
    <t>TELEFONICA BRASIL S.A.</t>
  </si>
  <si>
    <t>08.281.575/</t>
  </si>
  <si>
    <t>MUNERATO DIEGUES COMERCIO DE ARTIGOS ESPORTIVOS LTDA</t>
  </si>
  <si>
    <t>36.412.901/</t>
  </si>
  <si>
    <t>OMNIT COMERCIO VAREJISTA LTDA</t>
  </si>
  <si>
    <t>05.631.368/</t>
  </si>
  <si>
    <t>R-A MOVEIS E DECORACOES LTDA</t>
  </si>
  <si>
    <t>11.404.442/</t>
  </si>
  <si>
    <t xml:space="preserve">KETEK VR SUPERMERCADOS LTDA </t>
  </si>
  <si>
    <t>67.40.936/0</t>
  </si>
  <si>
    <t>PEUGEOT CITROEN DO BRASIL AUTOMOVEIS LTDA</t>
  </si>
  <si>
    <t>16.867.736/</t>
  </si>
  <si>
    <t>MULTI PEREQUE MERCADO LTDA</t>
  </si>
  <si>
    <t>28.445.729/</t>
  </si>
  <si>
    <t>CALCADOS SONHO ONLINE LTDA</t>
  </si>
  <si>
    <t>31.698.759/</t>
  </si>
  <si>
    <t>DOM ATACAREJO S/A</t>
  </si>
  <si>
    <t>04.104.117/</t>
  </si>
  <si>
    <t>NISSAN DO BRASIL LTDA</t>
  </si>
  <si>
    <t>09.510.591/</t>
  </si>
  <si>
    <t>DIST. NAVA RIO DE MEDICAMENTOS LTDA</t>
  </si>
  <si>
    <t>32.287.542/</t>
  </si>
  <si>
    <t>CASA CARDAO LTDA</t>
  </si>
  <si>
    <t>00.784.394/</t>
  </si>
  <si>
    <t>ROYAL CENTER COMERCIAL LTDA</t>
  </si>
  <si>
    <t>08.842.314/</t>
  </si>
  <si>
    <t>15.112.196/</t>
  </si>
  <si>
    <t>A GOMES &amp; IRMAO LTDA</t>
  </si>
  <si>
    <t>24.455.677/</t>
  </si>
  <si>
    <t>ACRIPEL DISTRIBUIDORA PERNAMBUCO LTDA</t>
  </si>
  <si>
    <t>30.005.984/</t>
  </si>
  <si>
    <t>ARENAMED DISTRIBUIDORA FARMACEUTICA E LOGISTICA S.A.</t>
  </si>
  <si>
    <t>ATACADAO CENTRO SUL LTDA.</t>
  </si>
  <si>
    <t>07.014.198/</t>
  </si>
  <si>
    <t>ATACADAO DO PAPEL LTDA</t>
  </si>
  <si>
    <t>26.306.830/</t>
  </si>
  <si>
    <t>ATACADAO DOS MOVEIS EIRELI</t>
  </si>
  <si>
    <t>56.991.441/</t>
  </si>
  <si>
    <t>AVON COSMETICOS LTDA.</t>
  </si>
  <si>
    <t>16.355.380/</t>
  </si>
  <si>
    <t>BREMEN VEICULOS S.A</t>
  </si>
  <si>
    <t>43.854.777/</t>
  </si>
  <si>
    <t>BUNZL EQUIPAMENTOS PARA PROTECAO INDIVIDUAL LTDA</t>
  </si>
  <si>
    <t>12.882.782/</t>
  </si>
  <si>
    <t>CHEGOU A NOSSA VEZ CAMA MESA E BANHO EIRELI</t>
  </si>
  <si>
    <t>07.348.911/</t>
  </si>
  <si>
    <t>COGEALI - COMERCIAL DE GENEROS ALIMENTICIOS LTDA.</t>
  </si>
  <si>
    <t>04.210.009/</t>
  </si>
  <si>
    <t>COMERCIAL COUTRIM LTDA</t>
  </si>
  <si>
    <t>02.435.456/</t>
  </si>
  <si>
    <t>COMERCIAL DE FERRAMENTAS E PRODUTOS INDUSTRIAIS LTDA</t>
  </si>
  <si>
    <t>27.950.582/</t>
  </si>
  <si>
    <t>CONCESSIONARIA DO AEROPORTO DE SALVADOR S.A.</t>
  </si>
  <si>
    <t>10.984.591/</t>
  </si>
  <si>
    <t>CONFORTO DO LAR COMERCIO LTDA - EPP</t>
  </si>
  <si>
    <t>02.226.289/</t>
  </si>
  <si>
    <t>CONSTRUPISO MATERIAIS DE CONSTRUCAO LTDA</t>
  </si>
  <si>
    <t>07.399.636/</t>
  </si>
  <si>
    <t>DECMINAS DISTRIBUICAO E LOGISTICA S.A.</t>
  </si>
  <si>
    <t>20.422.292/</t>
  </si>
  <si>
    <t>DFA BRASIL COMERCIO E DISTRIBUICAO LTDA</t>
  </si>
  <si>
    <t>96.832.084/</t>
  </si>
  <si>
    <t>DIPA DISTRIBUIDORA FARMACEUTICA PACHECO LTDA</t>
  </si>
  <si>
    <t>13.605.141/</t>
  </si>
  <si>
    <t>DISTRIBUIDORA DE MOVEIS SALVADOR EIRELI</t>
  </si>
  <si>
    <t>61.412.110/</t>
  </si>
  <si>
    <t>DROGARIA SAO PAULO S.A.</t>
  </si>
  <si>
    <t>11.427.503/</t>
  </si>
  <si>
    <t>DUBAI IMPORTADORA E DISTRIBUIDORA LTDA</t>
  </si>
  <si>
    <t>00.057.553/</t>
  </si>
  <si>
    <t>Eletrica Bahiana Com Imp Mat Eletri</t>
  </si>
  <si>
    <t>00.570.553/</t>
  </si>
  <si>
    <t>ELETRICA BAHIANA COMERCIO &amp; IMPORTACAO DE MAT ELET LTDA</t>
  </si>
  <si>
    <t>04.278.591/</t>
  </si>
  <si>
    <t>FAST MAR COMERCIO DE EMBALAGENS LTDA</t>
  </si>
  <si>
    <t>FERREIRA COSTA &amp; CIA LTDA</t>
  </si>
  <si>
    <t>09.364.298/</t>
  </si>
  <si>
    <t>FLUIDRA BRASIL INDUSTRIA E COMERCIO LTDA</t>
  </si>
  <si>
    <t>11.976.959/</t>
  </si>
  <si>
    <t>FORTPEL COMERCIO DE DESCARTAVEIS LTDA</t>
  </si>
  <si>
    <t>05.652.267/</t>
  </si>
  <si>
    <t>GONCALVES, COHIM &amp; COMPANHIA LIMITADA</t>
  </si>
  <si>
    <t>25.128.644/</t>
  </si>
  <si>
    <t>GP COMERCIO DE CALCADOS E ACESSORIOS EIRELI</t>
  </si>
  <si>
    <t>00.904.969/</t>
  </si>
  <si>
    <t>HANDYTECH INFORMATICA E ELETRONICA LTDA</t>
  </si>
  <si>
    <t>HOME CENTER NORDESTE COMERCIO DE MATERIAIS PARA CONSTRUCAO S.A.</t>
  </si>
  <si>
    <t>13.509.849/</t>
  </si>
  <si>
    <t>IRMAOS QUEIROZ LTDA</t>
  </si>
  <si>
    <t>34.532.758/</t>
  </si>
  <si>
    <t>JUNTOS COM O SUCESSO CAMA MESA E BANHO EIRELI</t>
  </si>
  <si>
    <t>15.178.668/</t>
  </si>
  <si>
    <t>KASA ANDRADE LTDA</t>
  </si>
  <si>
    <t>13.573.332/</t>
  </si>
  <si>
    <t>KORDSA BRASIL S.A</t>
  </si>
  <si>
    <t>00.066.716/</t>
  </si>
  <si>
    <t>LOGIN INFORMATICA COMERCIO E REPRESENTACAO LTDA</t>
  </si>
  <si>
    <t>LOJAS LE BISCUIT S/A</t>
  </si>
  <si>
    <t>05.156.713/</t>
  </si>
  <si>
    <t>LUTAN DISTRIBUIDORA DE ALIMENTOS LTDA</t>
  </si>
  <si>
    <t>03.997.453/</t>
  </si>
  <si>
    <t>MACAM COMERCIO ATACADISTA DE ALIMENTOS EIRELI</t>
  </si>
  <si>
    <t>04.664.933/</t>
  </si>
  <si>
    <t>MARCOS A A MAGALHAES</t>
  </si>
  <si>
    <t>MARTINS COMERCIO E SERVICOS DE DISTRIBUICAO S/A</t>
  </si>
  <si>
    <t>00.813.880/</t>
  </si>
  <si>
    <t>MASANI COMERCIO DE GENEROS ALIMENTICIOS LTDA</t>
  </si>
  <si>
    <t>14.674.561/</t>
  </si>
  <si>
    <t>MEGA GIRO COMERCIO DE PRODUTOS ALIMENTICIOS EIRELI</t>
  </si>
  <si>
    <t>11.205.856/</t>
  </si>
  <si>
    <t>MEGABMART BRINQUEDOS E PRESENTES LTDA</t>
  </si>
  <si>
    <t>09.182.947/</t>
  </si>
  <si>
    <t>MERCANTIL RODRIGUES COMERCIAL LTDA</t>
  </si>
  <si>
    <t>34.319.905/</t>
  </si>
  <si>
    <t>Mercantil Rodrigues Ltda</t>
  </si>
  <si>
    <t>07.993.099/</t>
  </si>
  <si>
    <t>MIX IDEAL ATACADO E DISTRIBUIDORA DE ALIMENTOS LTDA</t>
  </si>
  <si>
    <t>10.838.648/</t>
  </si>
  <si>
    <t>MIXBAHIA S/A</t>
  </si>
  <si>
    <t>17.888.090/</t>
  </si>
  <si>
    <t>MUNICIPIO DE CANDEIAS</t>
  </si>
  <si>
    <t>13.927.801/</t>
  </si>
  <si>
    <t>MUNICIPIO DE SALVADOR</t>
  </si>
  <si>
    <t>16.935.951/</t>
  </si>
  <si>
    <t>NORMANDO DIAS DA CRUZ EIRELI ME</t>
  </si>
  <si>
    <t>07.196.033/</t>
  </si>
  <si>
    <t>NORSA REFRIGERANTES S.A</t>
  </si>
  <si>
    <t>32.658.023/</t>
  </si>
  <si>
    <t>NOVA BAHIA COMERCIO E REPRESENTACOES LTDA</t>
  </si>
  <si>
    <t>33.133.225/</t>
  </si>
  <si>
    <t>NOVADAN MATERIAIS DE CONSTRUCAO LTDA</t>
  </si>
  <si>
    <t>10.352.624/</t>
  </si>
  <si>
    <t>NOVO CONFORTO COMERCIO LTDA</t>
  </si>
  <si>
    <t>27.326.415/</t>
  </si>
  <si>
    <t>NOVO MIX ATACADO DE ALIMENTOS LTDA</t>
  </si>
  <si>
    <t>15.655.319/</t>
  </si>
  <si>
    <t>O BARATAO AUTO PECAS LTDA</t>
  </si>
  <si>
    <t>42.135.855/</t>
  </si>
  <si>
    <t>O FAZENDAO COMERCIO DE MATERIAIS DE CONSTRUCAO LTDA</t>
  </si>
  <si>
    <t>13.868.245/</t>
  </si>
  <si>
    <t>O VAREJAO AUTO PECAS LTDA</t>
  </si>
  <si>
    <t>17.291.576/</t>
  </si>
  <si>
    <t>ORGAFARMA ORGANIZACAO FARMACEUTICA LTDA</t>
  </si>
  <si>
    <t>04.816.736/</t>
  </si>
  <si>
    <t>OUTLET DA CONSTRUCAO LTDA</t>
  </si>
  <si>
    <t>11.965.515/</t>
  </si>
  <si>
    <t>PERINI COMERCIAL DE ALIMENTOS LTDA</t>
  </si>
  <si>
    <t>03.427.129/</t>
  </si>
  <si>
    <t>PLANETA NATURAL EIRELI</t>
  </si>
  <si>
    <t>08.086.458/</t>
  </si>
  <si>
    <t>PMS/SMS/FUNDO MUNICIPAL DE SAUDE</t>
  </si>
  <si>
    <t>18.922.507/</t>
  </si>
  <si>
    <t>R.F ATACADO DE ALIMENTOS S/A</t>
  </si>
  <si>
    <t>11.043.507/</t>
  </si>
  <si>
    <t>REALIZE COMERCIO DE MOVEIS E DECORACOES LTDA</t>
  </si>
  <si>
    <t>14.395.362/</t>
  </si>
  <si>
    <t>REGUEIRA COMERCIO LTDA.</t>
  </si>
  <si>
    <t>06.337.087/</t>
  </si>
  <si>
    <t>Rmix Com De Generos Alimenticios Ltda</t>
  </si>
  <si>
    <t>RN COMERCIO VAREJISTA S.A</t>
  </si>
  <si>
    <t>12.671.651/</t>
  </si>
  <si>
    <t>ROMA BAHIA DISTRIBUIDORA DE PRODUTOS ALIMENTICIOS LTDA</t>
  </si>
  <si>
    <t>07.757.804/</t>
  </si>
  <si>
    <t>SOMA DISTRIBUIDORA DE MEDICAMENTOS LTDA</t>
  </si>
  <si>
    <t>08.793.939/</t>
  </si>
  <si>
    <t>SUPERMINIPRECO UTILIDADES DOMESTICAS EIRELI</t>
  </si>
  <si>
    <t>05.326.893/</t>
  </si>
  <si>
    <t>TOTAL MATERIAIS DE CONSTRUCAO LTDA</t>
  </si>
  <si>
    <t>15.205.628/</t>
  </si>
  <si>
    <t>TRAMONTINA NORDESTE S/A</t>
  </si>
  <si>
    <t>34.507.845/</t>
  </si>
  <si>
    <t xml:space="preserve">A&amp;F COMERCIO DE CALCADOS </t>
  </si>
  <si>
    <t>35.390.976/</t>
  </si>
  <si>
    <t>AFD CALCADOS LTDA</t>
  </si>
  <si>
    <t>04.622.116/</t>
  </si>
  <si>
    <t>ALGAR MULTIMIDIA S.A</t>
  </si>
  <si>
    <t>22.166.193/</t>
  </si>
  <si>
    <t>ALGAR SOLUÇOES EM TIC S/A</t>
  </si>
  <si>
    <t>71.208.516/</t>
  </si>
  <si>
    <t>ALGAR TELECOM S/A</t>
  </si>
  <si>
    <t>ALIANCA ATACADISTA LTDA</t>
  </si>
  <si>
    <t>ARCOM S/A</t>
  </si>
  <si>
    <t>21.294.295/</t>
  </si>
  <si>
    <t>AUTO TINTAS UNIAO LTDA</t>
  </si>
  <si>
    <t>23.097.104/</t>
  </si>
  <si>
    <t xml:space="preserve">DAVITA BRASIL PARTICIPAÇOES </t>
  </si>
  <si>
    <t>33.817.886/</t>
  </si>
  <si>
    <t>DEFILIPPI SHOES CALÇADOS LTDA</t>
  </si>
  <si>
    <t>07.799.905/</t>
  </si>
  <si>
    <t>D'VILLE SUPERMERCADOS S.A.</t>
  </si>
  <si>
    <t>15.126.437/</t>
  </si>
  <si>
    <t>EMPRESA BRASILEIRA DE SERVIÇOS HOSPITALARES - EBSERH</t>
  </si>
  <si>
    <t>07.173.516/</t>
  </si>
  <si>
    <t>FAR DISTRIBUIDORA DE ALIMENTOS LTDA</t>
  </si>
  <si>
    <t>23.045.334/</t>
  </si>
  <si>
    <t>FMJ COMERCIO DE TINTAS LTDA</t>
  </si>
  <si>
    <t>25.763.673/</t>
  </si>
  <si>
    <t>FUNDACAO DE ASSISTENCIA ESTUDO E PESQUISA DE UBERLANDIA</t>
  </si>
  <si>
    <t>11.872.656/</t>
  </si>
  <si>
    <t>HDL LOGISTICA HOSPITALAR LTDA</t>
  </si>
  <si>
    <t>25.628.819/</t>
  </si>
  <si>
    <t>IRMÃOS KEHDI COMERCIO IMPORTAÇÃO LTDA</t>
  </si>
  <si>
    <t>22.685.341/</t>
  </si>
  <si>
    <t>LIMA &amp; PERGHER INDUSTRIA E COMERCIO E REPRESENTACOES LTDA</t>
  </si>
  <si>
    <t>00.216.653/</t>
  </si>
  <si>
    <t>NEFROCLINICA DE UBERLANDIA LTDA</t>
  </si>
  <si>
    <t>60.409.075/</t>
  </si>
  <si>
    <t>NESTLÉ BRASIL LTDA</t>
  </si>
  <si>
    <t>PEIXOTO COMERCIO INDUSTRIA SERVICOS E TRANSPORTES S/A</t>
  </si>
  <si>
    <t>03.267.961/</t>
  </si>
  <si>
    <t>SAGA AUTOMINAS COMERCIO DE VEICULOS LTDA</t>
  </si>
  <si>
    <t>SAINT-GOBAIN DISTRIBUICAO BRASIL LTDA</t>
  </si>
  <si>
    <t>21.628.516/</t>
  </si>
  <si>
    <t>STOQUE MERCANTIL LTDA</t>
  </si>
  <si>
    <t>25.648.387/</t>
  </si>
  <si>
    <t xml:space="preserve">UNIVERSIDADE FEDERAL DE UBERLANDIA </t>
  </si>
  <si>
    <t>19.860.683/</t>
  </si>
  <si>
    <t>COOPERATIVA DE CONSUMO DOS EMPREGADOS DA USIMINAS LTDA</t>
  </si>
  <si>
    <t>07.919.745/</t>
  </si>
  <si>
    <t>M.A. COMERCIAL DE UTILIDADES DOMESTICAS EIRELI</t>
  </si>
  <si>
    <t>05.169.759/</t>
  </si>
  <si>
    <t>TUDOBOM COMERCIAL EIRELI</t>
  </si>
  <si>
    <t>19.878.404/</t>
  </si>
  <si>
    <t>FUNDACAO SAO FRANCISCO XAVIER</t>
  </si>
  <si>
    <t>08.335.717/</t>
  </si>
  <si>
    <t>SUPERACO ALIMENTOS EIRELI</t>
  </si>
  <si>
    <t>21.676.412/</t>
  </si>
  <si>
    <t>HD BARBOSA CALCADOS EIRELI</t>
  </si>
  <si>
    <t>38.681.730/</t>
  </si>
  <si>
    <t>ORIENTE FARMACEUTICA COMERCIO IMPORTACAO E EXPORTACAO LTDA</t>
  </si>
  <si>
    <t>02.912.729/</t>
  </si>
  <si>
    <t>SUPERMERCADO DEGRAU LTDA</t>
  </si>
  <si>
    <t>11.137.051/</t>
  </si>
  <si>
    <t>INTERBELLE COMERCIO DE PRODUTOS DE BELEZA LTDA</t>
  </si>
  <si>
    <t>CEMA CENTRAL MINEIRA ATACADISTA LTDA</t>
  </si>
  <si>
    <t>16.163.057/</t>
  </si>
  <si>
    <t xml:space="preserve">V.S DISTRIBUIDORA </t>
  </si>
  <si>
    <t>42.985.218/</t>
  </si>
  <si>
    <t xml:space="preserve">COMERCIAL GALA </t>
  </si>
  <si>
    <t>16.928.871/</t>
  </si>
  <si>
    <t>GUEDES &amp; PAIXÃO</t>
  </si>
  <si>
    <t>01.784.943/</t>
  </si>
  <si>
    <t>RESENDE E SANTOS DE MOC LTDA</t>
  </si>
  <si>
    <t>09.294.267/</t>
  </si>
  <si>
    <t>C &amp; R Padaria E Supermercados Ltda</t>
  </si>
  <si>
    <t>26.632.942/</t>
  </si>
  <si>
    <t>LINKMED FARMACEUTICA LTDA.</t>
  </si>
  <si>
    <t>04.899.081/</t>
  </si>
  <si>
    <t>CENTERNORTE DISTRIBUIDORA DE ALIMENTOS LTDA</t>
  </si>
  <si>
    <t>02.869.567/</t>
  </si>
  <si>
    <t>EFE ELE COMERCIO LTDA</t>
  </si>
  <si>
    <t>05.853.219/</t>
  </si>
  <si>
    <t>LOJA DO CABELEIREIRO DISTRIBUIDORA E COMERCIO LTDA</t>
  </si>
  <si>
    <t>28.548.486/</t>
  </si>
  <si>
    <t>MULTICOM ATACADO E VAREJO LTDA</t>
  </si>
  <si>
    <t>20.633.061/</t>
  </si>
  <si>
    <t>MAC SUPERMERCADO LTDA</t>
  </si>
  <si>
    <t>07.589.772/</t>
  </si>
  <si>
    <t xml:space="preserve">Afk Calcados Ltda                  </t>
  </si>
  <si>
    <t>51.482.461/</t>
  </si>
  <si>
    <t>AGRICOLA ALMEIDA LTDA</t>
  </si>
  <si>
    <t>16.752.663/</t>
  </si>
  <si>
    <t>ALMEIDA TORRES COMERCIO E REPRESENTACOES LIMITADA</t>
  </si>
  <si>
    <t>23.458.626/</t>
  </si>
  <si>
    <t>CALCADOS J BRAND IV LTDA</t>
  </si>
  <si>
    <t>08.389.167/</t>
  </si>
  <si>
    <t>CJA CALCADOS LTDA</t>
  </si>
  <si>
    <t>10.624.660/</t>
  </si>
  <si>
    <t>COMERCIAL CAMOMILA CAMA MESA E BANHO LTDA</t>
  </si>
  <si>
    <t>66.073.743/</t>
  </si>
  <si>
    <t xml:space="preserve">DICACON CONFECCOES LTDA. </t>
  </si>
  <si>
    <t>04.520.163/</t>
  </si>
  <si>
    <t>E. J. PULLINI &amp; CIA. LTDA.</t>
  </si>
  <si>
    <t>08.390.027/</t>
  </si>
  <si>
    <t>FAJ COMERCIAL DE CALCADOS LTDA</t>
  </si>
  <si>
    <t>26.486.342/</t>
  </si>
  <si>
    <t>FERNANDA ALVES DA SILVA XAVIER 07238602628</t>
  </si>
  <si>
    <t>08.385.154/</t>
  </si>
  <si>
    <t>JCR COMERCIO DE CALCADOS E ACESSORIOS LTDA</t>
  </si>
  <si>
    <t>16.678.050/</t>
  </si>
  <si>
    <t xml:space="preserve">MARIA BEATRIZ A DE BARROS ENXOVAIS </t>
  </si>
  <si>
    <t>08.382.542/</t>
  </si>
  <si>
    <t>RAJ COMERCIAL DE CALCADOS E ACESSORIOS LTDA</t>
  </si>
  <si>
    <t>15.454.734/</t>
  </si>
  <si>
    <t>RGV TENNIS &amp; SPORT LTDA - ME</t>
  </si>
  <si>
    <t>08.382.561/</t>
  </si>
  <si>
    <t>RJF COMERCIO DE CALCADOS LTDA</t>
  </si>
  <si>
    <t>09.912.484/</t>
  </si>
  <si>
    <t>A PRIMEIRA FRANCLASS COMERCIO DE ROUPAS EIRELI</t>
  </si>
  <si>
    <t>16.847.848/</t>
  </si>
  <si>
    <t>BADALADOS LENCOIS, CAMA, MESA E BANHO LTDA</t>
  </si>
  <si>
    <t>23.835.111/</t>
  </si>
  <si>
    <t>CONSTRUINDO SONHOS COMERCIO DE ROUPAS LTDA</t>
  </si>
  <si>
    <t>11.700.799/</t>
  </si>
  <si>
    <t>DA EM MIM QUE EU RESOLVO COMERCIO DE ROUPAS LTDA</t>
  </si>
  <si>
    <t>13.479.003/</t>
  </si>
  <si>
    <t>DEMOROU MAS E SHOW COMERCIO DE ROUPAS LTDA</t>
  </si>
  <si>
    <t>03.483.167/</t>
  </si>
  <si>
    <t>FEMMINILITA INDUSTRIA DE CONFECCAO DE ROUPAS E ACESSORIOS L TDA</t>
  </si>
  <si>
    <t>30.904.535/</t>
  </si>
  <si>
    <t>FOCO, FORCA E FE COMERCIO DE ROUPAS LTDA</t>
  </si>
  <si>
    <t>14.697.814/</t>
  </si>
  <si>
    <t>FRANCLASS SAO FRANCISCO COMERCIO DE ROUPAS LTDA</t>
  </si>
  <si>
    <t>04.597.673/</t>
  </si>
  <si>
    <t>INNOVAZIONE INDUSTRIA DE CONFECCAO DE ROUPAS E ACESSORIOS LTDA.</t>
  </si>
  <si>
    <t>02.890.979/</t>
  </si>
  <si>
    <t>KIAN IMPORTACAO LTDA</t>
  </si>
  <si>
    <t>28.017.427/</t>
  </si>
  <si>
    <t>PAPAI QUE DEU COMERCIO DE CAMA MESA BANHO E SONHOS EIRELI</t>
  </si>
  <si>
    <t>29.844.995/</t>
  </si>
  <si>
    <t>PERSEVERANCA COMERCIO DE ROUPAS EIRELI</t>
  </si>
  <si>
    <t>09.652.631/</t>
  </si>
  <si>
    <t>PERTINHO DE VOCE COMERCIO DE ROUPAS EIRELI</t>
  </si>
  <si>
    <t>35.475.072/</t>
  </si>
  <si>
    <t>PRA CIMA DELES LENCOIS COMERCIO DE CAMA, MESA E BANHO LTDA.</t>
  </si>
  <si>
    <t>24.941.374/</t>
  </si>
  <si>
    <t>PRA QUEM TEM FE COMERCIO DE ROUPAS EIRELI</t>
  </si>
  <si>
    <t>18.538.986/</t>
  </si>
  <si>
    <t>SEMPRE EM FRENTE COMERCIO DE ROUPAS LTDA</t>
  </si>
  <si>
    <t>16.454.762/</t>
  </si>
  <si>
    <t>SONHO, SUOR E SUCESSO COMERCIO DE ROUPAS LTDA</t>
  </si>
  <si>
    <t>01.183.645/</t>
  </si>
  <si>
    <t>VILAREJO DE MACAE MATERIAIS DE CONSTRUÇÃO LTDA</t>
  </si>
  <si>
    <t>28.512.291/</t>
  </si>
  <si>
    <t>DIMEL DISTRIBUIDORA DE MATERIAL ELETRICO EIRELI</t>
  </si>
  <si>
    <t>14.012.554/</t>
  </si>
  <si>
    <t>DRESS TO CLOTHING - BOUTIQUE LTDA</t>
  </si>
  <si>
    <t>73.549.313/</t>
  </si>
  <si>
    <t>FORNECEDORA AGNUS FERRAGENS LTDA.</t>
  </si>
  <si>
    <t>10.323.669/</t>
  </si>
  <si>
    <t>COMERCIAL ELETRICA GUERREIRO LTDA</t>
  </si>
  <si>
    <t>81.604.803/</t>
  </si>
  <si>
    <t>PJOTA CENTER COMERCIAL LTDA</t>
  </si>
  <si>
    <t>13.013.074/</t>
  </si>
  <si>
    <t>RIO BAHIA LOJA DE VARIEDADES LTDA - ME</t>
  </si>
  <si>
    <t>28.598.795/</t>
  </si>
  <si>
    <t xml:space="preserve">BARCELOS E CIA </t>
  </si>
  <si>
    <t>11.852.966/</t>
  </si>
  <si>
    <t>ALIANCA FARMA DISTRIBUIDORA LTDA</t>
  </si>
  <si>
    <t>03.028.416/</t>
  </si>
  <si>
    <t>ARZ MODAS LTDA</t>
  </si>
  <si>
    <t>03.369.825/</t>
  </si>
  <si>
    <t>ATACADAO DM LTDA</t>
  </si>
  <si>
    <t>34.444.794/</t>
  </si>
  <si>
    <t>ATACADAO PINTO ALIMENTOS E BEBIDAS LTDA</t>
  </si>
  <si>
    <t>26.476.117/</t>
  </si>
  <si>
    <t>AZUL FARMA DISTRIBUIDORA DE MEDICAMENTOS LTDA</t>
  </si>
  <si>
    <t>05.548.140/</t>
  </si>
  <si>
    <t>BRASIL CENTRAL DE DISTRIBUICOES DA BAHIA LTDA</t>
  </si>
  <si>
    <t>14.076.889/</t>
  </si>
  <si>
    <t>CEDEP COMERCIO E INDUSTRIA LTDA</t>
  </si>
  <si>
    <t>CERQUEIRA GONCALVES CIA LTDA</t>
  </si>
  <si>
    <t>96.727.656/</t>
  </si>
  <si>
    <t>COMERCIAL DE ESTIVAS SEIS IRMAOS LTDA</t>
  </si>
  <si>
    <t>15.139.629/</t>
  </si>
  <si>
    <t>COMPANHIA DE ELETRICIDADE DO ESTADO DA BAHIA COELBA</t>
  </si>
  <si>
    <t>06.098.403/</t>
  </si>
  <si>
    <t>COMPASSO CALCADOS E ACESSORIOS LTDA</t>
  </si>
  <si>
    <t>00.776.806/</t>
  </si>
  <si>
    <t>CONFINAR PRODUTOS AGROPECUARIOS LTDA</t>
  </si>
  <si>
    <t>06.283.750/</t>
  </si>
  <si>
    <t>D.B. - ATACADISTA DE ARTIGOS PARA LIMPEZA LTDA</t>
  </si>
  <si>
    <t>07.182.178/</t>
  </si>
  <si>
    <t>DIMIX DISTRIBUIDORA DE UTILIDADES LTDA.</t>
  </si>
  <si>
    <t>02.129.836/</t>
  </si>
  <si>
    <t>DISTRIBUIDORA DE ALIMENTOS OLISILBAR LTDA</t>
  </si>
  <si>
    <t>03.705.630/</t>
  </si>
  <si>
    <t>DISTRIBUIDORA DE PRODUTOS ALIMENTICIOS SAO ROQUE LTDA</t>
  </si>
  <si>
    <t>DPC DISTRIBUIDOR ATACADISTA S/A</t>
  </si>
  <si>
    <t>GAZIN INDUSTRIA E COMERCIO DE MOVEIS E ELETRODOMESTICOS LTDA</t>
  </si>
  <si>
    <t>07.644.746/</t>
  </si>
  <si>
    <t>GOLFARMA DISTRIBUIDORA FARMACEUTICA LTDA</t>
  </si>
  <si>
    <t>17.471.387/</t>
  </si>
  <si>
    <t>IDB ATACADISTA DE MATERIAL DE CONSTRUCAO EIRELI</t>
  </si>
  <si>
    <t>16.647.688/</t>
  </si>
  <si>
    <t>L ROCHA ATAYDE MOREIRA EIRELI - EPP</t>
  </si>
  <si>
    <t>31.240.288/</t>
  </si>
  <si>
    <t>LG DISTRIBUIDORA DE UTILIDADES LTDA</t>
  </si>
  <si>
    <t>20.951.183/</t>
  </si>
  <si>
    <t>LIRIO DOS VALES UTILIDADES LTDA</t>
  </si>
  <si>
    <t>MASKATE DISTRIBUIDORA DE PRODUTOS DE PAPELARIA E ARMARINHO LTDA</t>
  </si>
  <si>
    <t>MERCANTE DIST DE MATERIALS ELET DE CONSTRUCAO LTDA</t>
  </si>
  <si>
    <t>06.316.875/</t>
  </si>
  <si>
    <t>MUNDO DO REAL FEIRA DE SANTANA EIRELI</t>
  </si>
  <si>
    <t>07.224.991/</t>
  </si>
  <si>
    <t>NAZARIA DISTRIBUIDORA DE PRODUTOS FARMACEUTICOS LTDA</t>
  </si>
  <si>
    <t>08.334.818/</t>
  </si>
  <si>
    <t>NESTLE NORDESTE ALIMENTOS E BEBIDAS LTDA.</t>
  </si>
  <si>
    <t>76.635.689/</t>
  </si>
  <si>
    <t>O. V. D. IMPORTADORA E DISTRIBUIDORA LTDA</t>
  </si>
  <si>
    <t>00.993.098/</t>
  </si>
  <si>
    <t>S. SILVA DISTRIBUIDORA DE PECAS AUTOMOTIVAS LTDA</t>
  </si>
  <si>
    <t>04.858.654/</t>
  </si>
  <si>
    <t>T. CURCINO BASTOS</t>
  </si>
  <si>
    <t>05.431.013/</t>
  </si>
  <si>
    <t>TOTAL DISTRIBUIDORA DE PRODUTOS FARMACEUTICOS - BA LTDA</t>
  </si>
  <si>
    <t>18.468.199/</t>
  </si>
  <si>
    <t>SUPERMERCADO BERNARDAO LTDA</t>
  </si>
  <si>
    <t>22.020.994/</t>
  </si>
  <si>
    <t>PRODUTOS FARMACEUTICOS BORGES LTDA</t>
  </si>
  <si>
    <t>18.303.164/</t>
  </si>
  <si>
    <t>MUNICIPIO DE ALVORADA DE MINAS</t>
  </si>
  <si>
    <t>18.116.111/</t>
  </si>
  <si>
    <t>MUNICIPIO DE ARACAI</t>
  </si>
  <si>
    <t>18.116.129/</t>
  </si>
  <si>
    <t>MUNICIPIO DE BALDIM</t>
  </si>
  <si>
    <t>25.004.532/</t>
  </si>
  <si>
    <t>MUNICIPIO DE CACHOEIRA DA PRATA</t>
  </si>
  <si>
    <t>23.221.351/</t>
  </si>
  <si>
    <t>MUNICIPIO DE CAETANOPOLIS</t>
  </si>
  <si>
    <t>18.314.617/</t>
  </si>
  <si>
    <t>MUNICIPIO DE CAPIM BRANCO</t>
  </si>
  <si>
    <t>HIPER CARIJOS LTDA.</t>
  </si>
  <si>
    <t>18.060.525/</t>
  </si>
  <si>
    <t>MERCANTIL BASTOS LTDA</t>
  </si>
  <si>
    <t>06.988.720/</t>
  </si>
  <si>
    <t>KAMEL MEGA MIX SUPERMERCADOS LTDA</t>
  </si>
  <si>
    <t>22.761.584/</t>
  </si>
  <si>
    <t>FORTBRAS AUTOPEÇAS</t>
  </si>
  <si>
    <t>02.222.289/</t>
  </si>
  <si>
    <t xml:space="preserve">POLIPEÇAS </t>
  </si>
  <si>
    <t>05.841.502/</t>
  </si>
  <si>
    <t>RWR</t>
  </si>
  <si>
    <t>ELETROZEMA</t>
  </si>
  <si>
    <t>09.100.671/</t>
  </si>
  <si>
    <t>OURO FINO</t>
  </si>
  <si>
    <t>06.325.163/</t>
  </si>
  <si>
    <t xml:space="preserve">CASA DA DIALISE </t>
  </si>
  <si>
    <t>00.950.001/</t>
  </si>
  <si>
    <t>BRAVO LOGISTICA</t>
  </si>
  <si>
    <t>10.557.119/</t>
  </si>
  <si>
    <t>KAMEL MAGAZINE PRAÇA</t>
  </si>
  <si>
    <t>05.853.741/</t>
  </si>
  <si>
    <t>CONCORD DISTRIBUIDORA DE ALIMENTOS LTDA</t>
  </si>
  <si>
    <t>17.958.051/</t>
  </si>
  <si>
    <t>FARMAGROUP S/A - CENTRAL DE COMPRAS</t>
  </si>
  <si>
    <t>04.357.900/</t>
  </si>
  <si>
    <t>LUFARMA DISTRIBUIDORA FARMACEUTICA EIRELI</t>
  </si>
  <si>
    <t>06.104.356/</t>
  </si>
  <si>
    <t>MIX FARMA DISTRIBUIDORA LTDA</t>
  </si>
  <si>
    <t>34.588.023/</t>
  </si>
  <si>
    <t>LAFAMED</t>
  </si>
  <si>
    <t>08.765.948/</t>
  </si>
  <si>
    <t>GIL FARMA</t>
  </si>
  <si>
    <t>05.967.466/</t>
  </si>
  <si>
    <t>MARGUTTE</t>
  </si>
  <si>
    <t>Modial Comercial Modial Comercio De Artigos Funerarios Ltda</t>
  </si>
  <si>
    <t>SAO PAULO - SP</t>
  </si>
  <si>
    <t>Kg Exced.</t>
  </si>
  <si>
    <t>sem neg.</t>
  </si>
  <si>
    <t>Cubagem ( Kg por metro cúbico ) ......................: 300</t>
  </si>
  <si>
    <t>Reentrega ........................................................: 50 % do frete original, com o mínimo de: R$ 62,1 reais</t>
  </si>
  <si>
    <t>Taxa de Cobrança Bancária  - Por Boleto.............: Suspensa</t>
  </si>
  <si>
    <t>/s2/</t>
  </si>
  <si>
    <t>/s1/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</si>
</sst>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R$&quot;#,##0.00_);[Red]\(&quot;R$&quot;#,##0.00\)"/>
    <numFmt numFmtId="165" formatCode="_(&quot;R$&quot;* #,##0.00_);_(&quot;R$&quot;* \(#,##0.00\);_(&quot;R$&quot;* &quot;-&quot;??_);_(@_)"/>
    <numFmt numFmtId="166" formatCode="00&quot;.&quot;000&quot;.&quot;000&quot;/&quot;0000&quot;-&quot;00"/>
    <numFmt numFmtId="167" formatCode="00000\-000"/>
    <numFmt numFmtId="168" formatCode="&quot;De:  &quot;0.00\1"/>
    <numFmt numFmtId="169" formatCode="0.00\1"/>
    <numFmt numFmtId="170" formatCode="&quot;Até:  &quot;0.00"/>
    <numFmt numFmtId="171" formatCode="&quot;R$ &quot;#,##0.00"/>
    <numFmt numFmtId="172" formatCode="0.0"/>
    <numFmt numFmtId="173" formatCode="&quot;R$&quot;\ #,##0.00"/>
    <numFmt numFmtId="174" formatCode="0.0000%"/>
  </numFmts>
  <fonts count="5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 tint="-0.14999847407452621"/>
      <name val="Calibri"/>
      <family val="2"/>
      <scheme val="minor"/>
    </font>
    <font>
      <b/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theme="6" tint="0.59999389629810485"/>
      <name val="Arial"/>
      <family val="2"/>
    </font>
    <font>
      <i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6.5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 tint="-0.14999847407452621"/>
      <name val="Calibri"/>
      <family val="2"/>
      <scheme val="minor"/>
    </font>
    <font>
      <u/>
      <sz val="10"/>
      <color theme="10"/>
      <name val="Arial"/>
      <family val="2"/>
    </font>
    <font>
      <sz val="6.5"/>
      <name val="Calibri"/>
      <family val="2"/>
      <scheme val="minor"/>
    </font>
    <font>
      <sz val="8"/>
      <name val="Arial"/>
      <family val="2"/>
    </font>
    <font>
      <b/>
      <sz val="14"/>
      <color theme="0"/>
      <name val="Calibri"/>
      <family val="2"/>
      <scheme val="minor"/>
    </font>
    <font>
      <sz val="6.5"/>
      <color indexed="9"/>
      <name val="Calibri"/>
      <family val="2"/>
      <scheme val="minor"/>
    </font>
    <font>
      <b/>
      <sz val="7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i/>
      <sz val="8"/>
      <name val="Calibri"/>
      <family val="2"/>
      <scheme val="minor"/>
    </font>
    <font>
      <i/>
      <sz val="8"/>
      <name val="Calibri"/>
      <family val="2"/>
    </font>
    <font>
      <b/>
      <i/>
      <sz val="8"/>
      <name val="Calibri"/>
      <family val="2"/>
    </font>
    <font>
      <b/>
      <i/>
      <sz val="8"/>
      <name val="Calibri"/>
      <family val="2"/>
      <scheme val="minor"/>
    </font>
    <font>
      <sz val="7"/>
      <name val="Calibri"/>
      <family val="2"/>
      <scheme val="minor"/>
    </font>
    <font>
      <b/>
      <sz val="8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0" tint="-0.1499984740745262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6.5"/>
      <color theme="0" tint="-0.14999847407452621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sz val="6.5"/>
      <color theme="0" tint="-0.249977111117893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Arial"/>
      <family val="2"/>
    </font>
    <font>
      <b/>
      <sz val="12"/>
      <color theme="1"/>
      <name val="Calibri"/>
      <family val="2"/>
      <scheme val="minor"/>
    </font>
    <font>
      <sz val="9"/>
      <name val="Arial"/>
      <family val="2"/>
    </font>
    <font>
      <sz val="7"/>
      <name val="Arial"/>
      <family val="2"/>
    </font>
    <font>
      <b/>
      <sz val="7"/>
      <color theme="1"/>
      <name val="Calibri"/>
      <family val="2"/>
      <scheme val="minor"/>
    </font>
    <font>
      <b/>
      <sz val="7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theme="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C60C35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74F"/>
        <bgColor indexed="26"/>
      </patternFill>
    </fill>
    <fill>
      <patternFill patternType="solid">
        <fgColor rgb="FFFFA74F"/>
        <bgColor indexed="31"/>
      </patternFill>
    </fill>
    <fill>
      <patternFill patternType="solid">
        <fgColor rgb="FFFFA74F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C60C35"/>
        <bgColor indexed="26"/>
      </patternFill>
    </fill>
    <fill>
      <patternFill patternType="solid">
        <fgColor theme="0" tint="-4.9989318521683403E-2"/>
        <bgColor indexed="26"/>
      </patternFill>
    </fill>
    <fill>
      <patternFill patternType="solid">
        <fgColor theme="0" tint="-0.249977111117893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31"/>
      </patternFill>
    </fill>
    <fill>
      <patternFill patternType="solid">
        <fgColor theme="0" tint="-0.34998626667073579"/>
        <bgColor indexed="31"/>
      </patternFill>
    </fill>
    <fill>
      <patternFill patternType="solid">
        <fgColor theme="0" tint="-0.34998626667073579"/>
        <bgColor indexed="26"/>
      </patternFill>
    </fill>
    <fill>
      <patternFill patternType="solid">
        <fgColor theme="0" tint="-0.14999847407452621"/>
        <bgColor indexed="31"/>
      </patternFill>
    </fill>
    <fill>
      <patternFill patternType="solid">
        <fgColor rgb="FFD9D9D9"/>
        <bgColor rgb="FFCCCC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01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auto="1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auto="1"/>
      </right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0" tint="-0.499984740745262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/>
      <diagonal/>
    </border>
    <border>
      <left style="thin">
        <color theme="0" tint="-0.34998626667073579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499984740745262"/>
      </top>
      <bottom style="thin">
        <color theme="0" tint="-0.34998626667073579"/>
      </bottom>
      <diagonal/>
    </border>
    <border>
      <left/>
      <right/>
      <top style="thin">
        <color theme="0" tint="-0.499984740745262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14996795556505021"/>
      </bottom>
      <diagonal/>
    </border>
    <border>
      <left/>
      <right/>
      <top style="thin">
        <color theme="0" tint="-0.499984740745262"/>
      </top>
      <bottom style="thin">
        <color theme="0" tint="-0.1499679555650502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14996795556505021"/>
      </bottom>
      <diagonal/>
    </border>
    <border>
      <left style="thin">
        <color theme="0" tint="-0.499984740745262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499984740745262"/>
      </right>
      <top style="thin">
        <color theme="0" tint="-0.14996795556505021"/>
      </top>
      <bottom/>
      <diagonal/>
    </border>
    <border>
      <left style="thin">
        <color rgb="FF808080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theme="0" tint="-0.499984740745262"/>
      </right>
      <top style="thin">
        <color rgb="FFD9D9D9"/>
      </top>
      <bottom/>
      <diagonal/>
    </border>
    <border>
      <left style="thin">
        <color rgb="FF808080"/>
      </left>
      <right/>
      <top/>
      <bottom style="thin">
        <color theme="0" tint="-0.499984740745262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499984740745262"/>
      </left>
      <right/>
      <top style="thin">
        <color theme="1" tint="0.499984740745262"/>
      </top>
      <bottom/>
      <diagonal/>
    </border>
    <border>
      <left/>
      <right style="thin">
        <color theme="0" tint="-0.499984740745262"/>
      </right>
      <top style="thin">
        <color theme="1" tint="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 tint="-0.499984740745262"/>
      </top>
      <bottom style="thin">
        <color theme="0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 tint="-0.499984740745262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/>
      <top style="thin">
        <color theme="0"/>
      </top>
      <bottom style="thin">
        <color theme="0" tint="-0.499984740745262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/>
      </top>
      <bottom style="thin">
        <color theme="0" tint="-0.49998474074526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7">
    <xf numFmtId="0" fontId="0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519">
    <xf numFmtId="0" fontId="0" fillId="0" borderId="0" xfId="0"/>
    <xf numFmtId="0" fontId="7" fillId="0" borderId="0" xfId="0" applyFont="1"/>
    <xf numFmtId="0" fontId="8" fillId="0" borderId="0" xfId="0" applyFont="1"/>
    <xf numFmtId="0" fontId="7" fillId="0" borderId="0" xfId="0" applyFont="1" applyProtection="1">
      <protection locked="0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0" fontId="8" fillId="3" borderId="1" xfId="0" applyFont="1" applyFill="1" applyBorder="1"/>
    <xf numFmtId="0" fontId="8" fillId="3" borderId="2" xfId="0" applyFont="1" applyFill="1" applyBorder="1"/>
    <xf numFmtId="0" fontId="7" fillId="4" borderId="3" xfId="0" applyFont="1" applyFill="1" applyBorder="1"/>
    <xf numFmtId="0" fontId="10" fillId="4" borderId="4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5" xfId="0" applyFont="1" applyFill="1" applyBorder="1"/>
    <xf numFmtId="0" fontId="7" fillId="4" borderId="4" xfId="0" applyFont="1" applyFill="1" applyBorder="1" applyAlignment="1">
      <alignment vertical="center"/>
    </xf>
    <xf numFmtId="166" fontId="7" fillId="4" borderId="0" xfId="0" applyNumberFormat="1" applyFont="1" applyFill="1" applyAlignment="1">
      <alignment vertical="center"/>
    </xf>
    <xf numFmtId="1" fontId="7" fillId="4" borderId="0" xfId="0" applyNumberFormat="1" applyFont="1" applyFill="1" applyAlignment="1">
      <alignment vertical="center"/>
    </xf>
    <xf numFmtId="0" fontId="7" fillId="3" borderId="0" xfId="0" applyFont="1" applyFill="1" applyAlignment="1">
      <alignment vertical="center"/>
    </xf>
    <xf numFmtId="167" fontId="7" fillId="4" borderId="0" xfId="0" applyNumberFormat="1" applyFont="1" applyFill="1" applyAlignment="1">
      <alignment vertical="center"/>
    </xf>
    <xf numFmtId="49" fontId="7" fillId="4" borderId="0" xfId="0" applyNumberFormat="1" applyFont="1" applyFill="1" applyAlignment="1">
      <alignment vertical="center"/>
    </xf>
    <xf numFmtId="0" fontId="7" fillId="4" borderId="6" xfId="0" applyFont="1" applyFill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0" fontId="7" fillId="4" borderId="8" xfId="0" applyFont="1" applyFill="1" applyBorder="1"/>
    <xf numFmtId="0" fontId="8" fillId="0" borderId="0" xfId="0" applyFont="1" applyAlignment="1">
      <alignment vertical="center"/>
    </xf>
    <xf numFmtId="0" fontId="11" fillId="3" borderId="9" xfId="0" applyFont="1" applyFill="1" applyBorder="1" applyAlignment="1">
      <alignment vertical="center"/>
    </xf>
    <xf numFmtId="0" fontId="11" fillId="3" borderId="10" xfId="0" applyFont="1" applyFill="1" applyBorder="1" applyAlignment="1">
      <alignment vertical="center"/>
    </xf>
    <xf numFmtId="0" fontId="11" fillId="3" borderId="1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168" fontId="8" fillId="6" borderId="12" xfId="0" applyNumberFormat="1" applyFont="1" applyFill="1" applyBorder="1" applyAlignment="1">
      <alignment horizontal="center" vertical="center" wrapText="1"/>
    </xf>
    <xf numFmtId="168" fontId="8" fillId="6" borderId="2" xfId="0" applyNumberFormat="1" applyFont="1" applyFill="1" applyBorder="1" applyAlignment="1">
      <alignment horizontal="center" vertical="center" wrapText="1"/>
    </xf>
    <xf numFmtId="168" fontId="8" fillId="6" borderId="13" xfId="0" applyNumberFormat="1" applyFont="1" applyFill="1" applyBorder="1" applyAlignment="1">
      <alignment horizontal="center" vertical="center" wrapText="1"/>
    </xf>
    <xf numFmtId="168" fontId="8" fillId="6" borderId="14" xfId="0" applyNumberFormat="1" applyFont="1" applyFill="1" applyBorder="1" applyAlignment="1">
      <alignment horizontal="center" vertical="center" wrapText="1"/>
    </xf>
    <xf numFmtId="168" fontId="8" fillId="6" borderId="15" xfId="0" applyNumberFormat="1" applyFont="1" applyFill="1" applyBorder="1" applyAlignment="1">
      <alignment horizontal="center" vertical="center" wrapText="1"/>
    </xf>
    <xf numFmtId="169" fontId="8" fillId="6" borderId="3" xfId="0" applyNumberFormat="1" applyFont="1" applyFill="1" applyBorder="1" applyAlignment="1">
      <alignment vertical="center" wrapText="1"/>
    </xf>
    <xf numFmtId="49" fontId="7" fillId="7" borderId="6" xfId="0" applyNumberFormat="1" applyFont="1" applyFill="1" applyBorder="1"/>
    <xf numFmtId="170" fontId="8" fillId="6" borderId="16" xfId="0" applyNumberFormat="1" applyFont="1" applyFill="1" applyBorder="1" applyAlignment="1">
      <alignment horizontal="center" vertical="center" wrapText="1"/>
    </xf>
    <xf numFmtId="170" fontId="8" fillId="6" borderId="7" xfId="0" applyNumberFormat="1" applyFont="1" applyFill="1" applyBorder="1" applyAlignment="1">
      <alignment horizontal="center" vertical="center" wrapText="1"/>
    </xf>
    <xf numFmtId="170" fontId="8" fillId="6" borderId="17" xfId="0" applyNumberFormat="1" applyFont="1" applyFill="1" applyBorder="1" applyAlignment="1">
      <alignment horizontal="center" vertical="center" wrapText="1"/>
    </xf>
    <xf numFmtId="170" fontId="8" fillId="6" borderId="18" xfId="0" applyNumberFormat="1" applyFont="1" applyFill="1" applyBorder="1" applyAlignment="1">
      <alignment horizontal="center" vertical="center" wrapText="1"/>
    </xf>
    <xf numFmtId="170" fontId="8" fillId="6" borderId="19" xfId="0" applyNumberFormat="1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vertical="center"/>
    </xf>
    <xf numFmtId="49" fontId="7" fillId="0" borderId="0" xfId="0" applyNumberFormat="1" applyFont="1"/>
    <xf numFmtId="49" fontId="7" fillId="0" borderId="0" xfId="0" applyNumberFormat="1" applyFont="1" applyProtection="1">
      <protection locked="0"/>
    </xf>
    <xf numFmtId="0" fontId="8" fillId="8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2" borderId="20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/>
    </xf>
    <xf numFmtId="0" fontId="0" fillId="4" borderId="22" xfId="0" applyFill="1" applyBorder="1" applyAlignment="1">
      <alignment vertical="center"/>
    </xf>
    <xf numFmtId="4" fontId="7" fillId="9" borderId="9" xfId="0" applyNumberFormat="1" applyFont="1" applyFill="1" applyBorder="1" applyAlignment="1">
      <alignment horizontal="center" vertical="center"/>
    </xf>
    <xf numFmtId="10" fontId="7" fillId="9" borderId="22" xfId="2" applyNumberFormat="1" applyFont="1" applyFill="1" applyBorder="1" applyAlignment="1" applyProtection="1">
      <alignment horizontal="center" vertical="center"/>
    </xf>
    <xf numFmtId="0" fontId="13" fillId="2" borderId="5" xfId="0" applyFont="1" applyFill="1" applyBorder="1" applyAlignment="1">
      <alignment vertical="center" textRotation="90" wrapText="1"/>
    </xf>
    <xf numFmtId="4" fontId="7" fillId="9" borderId="1" xfId="0" applyNumberFormat="1" applyFont="1" applyFill="1" applyBorder="1" applyAlignment="1">
      <alignment horizontal="center" vertical="center"/>
    </xf>
    <xf numFmtId="10" fontId="7" fillId="9" borderId="12" xfId="2" applyNumberFormat="1" applyFont="1" applyFill="1" applyBorder="1" applyAlignment="1" applyProtection="1">
      <alignment horizontal="center" vertical="center"/>
    </xf>
    <xf numFmtId="0" fontId="0" fillId="4" borderId="9" xfId="0" applyFill="1" applyBorder="1" applyAlignment="1">
      <alignment vertical="center"/>
    </xf>
    <xf numFmtId="4" fontId="10" fillId="4" borderId="23" xfId="0" applyNumberFormat="1" applyFont="1" applyFill="1" applyBorder="1" applyAlignment="1">
      <alignment horizontal="center" vertical="center"/>
    </xf>
    <xf numFmtId="171" fontId="14" fillId="4" borderId="0" xfId="0" applyNumberFormat="1" applyFont="1" applyFill="1" applyAlignment="1">
      <alignment vertical="center"/>
    </xf>
    <xf numFmtId="4" fontId="10" fillId="4" borderId="24" xfId="0" applyNumberFormat="1" applyFont="1" applyFill="1" applyBorder="1" applyAlignment="1">
      <alignment horizontal="center" vertical="center"/>
    </xf>
    <xf numFmtId="10" fontId="10" fillId="4" borderId="24" xfId="2" applyNumberFormat="1" applyFont="1" applyFill="1" applyBorder="1" applyAlignment="1" applyProtection="1">
      <alignment horizontal="center" vertical="center"/>
    </xf>
    <xf numFmtId="10" fontId="10" fillId="4" borderId="25" xfId="2" applyNumberFormat="1" applyFont="1" applyFill="1" applyBorder="1" applyAlignment="1" applyProtection="1">
      <alignment horizontal="center" vertical="center"/>
    </xf>
    <xf numFmtId="4" fontId="10" fillId="4" borderId="26" xfId="0" applyNumberFormat="1" applyFont="1" applyFill="1" applyBorder="1" applyAlignment="1">
      <alignment horizontal="center" vertical="center"/>
    </xf>
    <xf numFmtId="171" fontId="14" fillId="4" borderId="27" xfId="0" applyNumberFormat="1" applyFont="1" applyFill="1" applyBorder="1" applyAlignment="1">
      <alignment vertical="center"/>
    </xf>
    <xf numFmtId="4" fontId="10" fillId="4" borderId="27" xfId="0" applyNumberFormat="1" applyFont="1" applyFill="1" applyBorder="1" applyAlignment="1">
      <alignment horizontal="center" vertical="center"/>
    </xf>
    <xf numFmtId="10" fontId="10" fillId="4" borderId="27" xfId="2" applyNumberFormat="1" applyFont="1" applyFill="1" applyBorder="1" applyAlignment="1" applyProtection="1">
      <alignment horizontal="center" vertical="center"/>
    </xf>
    <xf numFmtId="10" fontId="10" fillId="4" borderId="28" xfId="2" applyNumberFormat="1" applyFont="1" applyFill="1" applyBorder="1" applyAlignment="1" applyProtection="1">
      <alignment horizontal="center" vertical="center"/>
    </xf>
    <xf numFmtId="4" fontId="7" fillId="9" borderId="6" xfId="0" applyNumberFormat="1" applyFont="1" applyFill="1" applyBorder="1" applyAlignment="1">
      <alignment horizontal="center" vertical="center"/>
    </xf>
    <xf numFmtId="10" fontId="7" fillId="9" borderId="16" xfId="2" applyNumberFormat="1" applyFont="1" applyFill="1" applyBorder="1" applyAlignment="1" applyProtection="1">
      <alignment horizontal="center" vertical="center"/>
    </xf>
    <xf numFmtId="0" fontId="8" fillId="10" borderId="6" xfId="0" applyFont="1" applyFill="1" applyBorder="1" applyAlignment="1">
      <alignment vertical="center" textRotation="90"/>
    </xf>
    <xf numFmtId="0" fontId="8" fillId="10" borderId="7" xfId="0" applyFont="1" applyFill="1" applyBorder="1" applyAlignment="1">
      <alignment vertical="center" textRotation="90"/>
    </xf>
    <xf numFmtId="0" fontId="7" fillId="2" borderId="8" xfId="0" applyFont="1" applyFill="1" applyBorder="1"/>
    <xf numFmtId="0" fontId="8" fillId="8" borderId="0" xfId="0" applyFont="1" applyFill="1" applyAlignment="1">
      <alignment vertical="center" textRotation="90"/>
    </xf>
    <xf numFmtId="0" fontId="8" fillId="0" borderId="0" xfId="0" applyFont="1" applyAlignment="1">
      <alignment vertical="center" textRotation="90"/>
    </xf>
    <xf numFmtId="0" fontId="12" fillId="2" borderId="29" xfId="0" applyFont="1" applyFill="1" applyBorder="1" applyAlignment="1">
      <alignment vertical="center"/>
    </xf>
    <xf numFmtId="0" fontId="12" fillId="2" borderId="30" xfId="0" applyFont="1" applyFill="1" applyBorder="1" applyAlignment="1">
      <alignment vertical="center"/>
    </xf>
    <xf numFmtId="0" fontId="0" fillId="4" borderId="6" xfId="0" applyFill="1" applyBorder="1" applyAlignment="1">
      <alignment vertical="center"/>
    </xf>
    <xf numFmtId="10" fontId="7" fillId="9" borderId="6" xfId="2" applyNumberFormat="1" applyFont="1" applyFill="1" applyBorder="1" applyAlignment="1" applyProtection="1">
      <alignment horizontal="center" vertical="center"/>
    </xf>
    <xf numFmtId="0" fontId="13" fillId="2" borderId="0" xfId="0" applyFont="1" applyFill="1" applyAlignment="1">
      <alignment vertical="center" textRotation="90" wrapText="1"/>
    </xf>
    <xf numFmtId="10" fontId="7" fillId="9" borderId="9" xfId="2" applyNumberFormat="1" applyFont="1" applyFill="1" applyBorder="1" applyAlignment="1" applyProtection="1">
      <alignment horizontal="center" vertical="center"/>
    </xf>
    <xf numFmtId="0" fontId="13" fillId="2" borderId="32" xfId="0" applyFont="1" applyFill="1" applyBorder="1" applyAlignment="1">
      <alignment vertical="center" textRotation="90" wrapText="1"/>
    </xf>
    <xf numFmtId="171" fontId="14" fillId="4" borderId="9" xfId="0" applyNumberFormat="1" applyFont="1" applyFill="1" applyBorder="1" applyAlignment="1">
      <alignment vertical="center"/>
    </xf>
    <xf numFmtId="171" fontId="14" fillId="4" borderId="10" xfId="0" applyNumberFormat="1" applyFont="1" applyFill="1" applyBorder="1" applyAlignment="1">
      <alignment vertical="center"/>
    </xf>
    <xf numFmtId="10" fontId="14" fillId="4" borderId="10" xfId="0" applyNumberFormat="1" applyFont="1" applyFill="1" applyBorder="1" applyAlignment="1">
      <alignment vertical="center"/>
    </xf>
    <xf numFmtId="10" fontId="14" fillId="4" borderId="11" xfId="2" applyNumberFormat="1" applyFont="1" applyFill="1" applyBorder="1" applyAlignment="1" applyProtection="1">
      <alignment horizontal="center" vertical="center"/>
    </xf>
    <xf numFmtId="4" fontId="7" fillId="9" borderId="0" xfId="0" applyNumberFormat="1" applyFont="1" applyFill="1" applyAlignment="1">
      <alignment horizontal="center" vertical="center"/>
    </xf>
    <xf numFmtId="0" fontId="0" fillId="4" borderId="33" xfId="0" applyFill="1" applyBorder="1" applyAlignment="1">
      <alignment vertical="center"/>
    </xf>
    <xf numFmtId="4" fontId="7" fillId="9" borderId="33" xfId="0" applyNumberFormat="1" applyFont="1" applyFill="1" applyBorder="1" applyAlignment="1">
      <alignment horizontal="center" vertical="center"/>
    </xf>
    <xf numFmtId="10" fontId="7" fillId="9" borderId="33" xfId="2" applyNumberFormat="1" applyFont="1" applyFill="1" applyBorder="1" applyAlignment="1" applyProtection="1">
      <alignment horizontal="center" vertical="center"/>
    </xf>
    <xf numFmtId="0" fontId="7" fillId="9" borderId="0" xfId="0" applyFont="1" applyFill="1"/>
    <xf numFmtId="0" fontId="7" fillId="9" borderId="0" xfId="0" applyFont="1" applyFill="1" applyProtection="1">
      <protection locked="0"/>
    </xf>
    <xf numFmtId="0" fontId="8" fillId="10" borderId="29" xfId="0" applyFont="1" applyFill="1" applyBorder="1" applyAlignment="1">
      <alignment vertical="center"/>
    </xf>
    <xf numFmtId="0" fontId="12" fillId="10" borderId="20" xfId="0" applyFont="1" applyFill="1" applyBorder="1" applyAlignment="1">
      <alignment vertical="center"/>
    </xf>
    <xf numFmtId="0" fontId="8" fillId="10" borderId="30" xfId="0" applyFont="1" applyFill="1" applyBorder="1" applyAlignment="1">
      <alignment vertical="center"/>
    </xf>
    <xf numFmtId="0" fontId="0" fillId="4" borderId="35" xfId="0" applyFill="1" applyBorder="1" applyAlignment="1">
      <alignment vertical="center"/>
    </xf>
    <xf numFmtId="4" fontId="7" fillId="9" borderId="36" xfId="0" applyNumberFormat="1" applyFont="1" applyFill="1" applyBorder="1" applyAlignment="1">
      <alignment horizontal="center" vertical="center"/>
    </xf>
    <xf numFmtId="10" fontId="7" fillId="9" borderId="37" xfId="2" applyNumberFormat="1" applyFont="1" applyFill="1" applyBorder="1" applyAlignment="1" applyProtection="1">
      <alignment horizontal="center" vertical="center"/>
    </xf>
    <xf numFmtId="172" fontId="11" fillId="2" borderId="32" xfId="0" applyNumberFormat="1" applyFont="1" applyFill="1" applyBorder="1" applyAlignment="1">
      <alignment vertical="center" textRotation="90" wrapText="1"/>
    </xf>
    <xf numFmtId="0" fontId="0" fillId="4" borderId="38" xfId="0" applyFill="1" applyBorder="1" applyAlignment="1">
      <alignment vertical="center"/>
    </xf>
    <xf numFmtId="10" fontId="7" fillId="9" borderId="39" xfId="2" applyNumberFormat="1" applyFont="1" applyFill="1" applyBorder="1" applyAlignment="1" applyProtection="1">
      <alignment horizontal="center" vertical="center"/>
    </xf>
    <xf numFmtId="0" fontId="0" fillId="4" borderId="40" xfId="0" applyFill="1" applyBorder="1" applyAlignment="1">
      <alignment vertical="center"/>
    </xf>
    <xf numFmtId="10" fontId="7" fillId="9" borderId="41" xfId="2" applyNumberFormat="1" applyFont="1" applyFill="1" applyBorder="1" applyAlignment="1" applyProtection="1">
      <alignment horizontal="center" vertical="center"/>
    </xf>
    <xf numFmtId="0" fontId="8" fillId="10" borderId="42" xfId="0" applyFont="1" applyFill="1" applyBorder="1" applyAlignment="1">
      <alignment horizontal="center" vertical="center" textRotation="90"/>
    </xf>
    <xf numFmtId="0" fontId="0" fillId="2" borderId="43" xfId="0" applyFill="1" applyBorder="1" applyAlignment="1">
      <alignment vertical="center"/>
    </xf>
    <xf numFmtId="4" fontId="7" fillId="2" borderId="43" xfId="0" applyNumberFormat="1" applyFont="1" applyFill="1" applyBorder="1" applyAlignment="1">
      <alignment vertical="center"/>
    </xf>
    <xf numFmtId="4" fontId="7" fillId="10" borderId="43" xfId="0" applyNumberFormat="1" applyFont="1" applyFill="1" applyBorder="1" applyAlignment="1">
      <alignment vertical="center"/>
    </xf>
    <xf numFmtId="10" fontId="7" fillId="10" borderId="43" xfId="0" applyNumberFormat="1" applyFont="1" applyFill="1" applyBorder="1" applyAlignment="1">
      <alignment vertical="center"/>
    </xf>
    <xf numFmtId="172" fontId="11" fillId="2" borderId="44" xfId="0" applyNumberFormat="1" applyFont="1" applyFill="1" applyBorder="1" applyAlignment="1">
      <alignment vertical="center" textRotation="90" wrapText="1"/>
    </xf>
    <xf numFmtId="0" fontId="8" fillId="8" borderId="0" xfId="0" applyFont="1" applyFill="1" applyAlignment="1">
      <alignment horizontal="center" vertical="center" textRotation="90"/>
    </xf>
    <xf numFmtId="0" fontId="0" fillId="11" borderId="45" xfId="0" applyFill="1" applyBorder="1" applyAlignment="1">
      <alignment horizontal="left" vertical="center"/>
    </xf>
    <xf numFmtId="0" fontId="0" fillId="11" borderId="10" xfId="0" applyFill="1" applyBorder="1" applyAlignment="1">
      <alignment horizontal="left" vertical="center"/>
    </xf>
    <xf numFmtId="0" fontId="0" fillId="11" borderId="10" xfId="0" applyFill="1" applyBorder="1" applyAlignment="1">
      <alignment vertical="center"/>
    </xf>
    <xf numFmtId="0" fontId="0" fillId="11" borderId="11" xfId="0" applyFill="1" applyBorder="1" applyAlignment="1">
      <alignment vertical="center"/>
    </xf>
    <xf numFmtId="0" fontId="7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12" borderId="9" xfId="0" applyFont="1" applyFill="1" applyBorder="1" applyAlignment="1">
      <alignment vertical="center"/>
    </xf>
    <xf numFmtId="0" fontId="8" fillId="12" borderId="10" xfId="0" applyFont="1" applyFill="1" applyBorder="1" applyAlignment="1">
      <alignment vertical="center"/>
    </xf>
    <xf numFmtId="0" fontId="8" fillId="12" borderId="1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15" fillId="9" borderId="0" xfId="0" applyFont="1" applyFill="1"/>
    <xf numFmtId="0" fontId="15" fillId="3" borderId="4" xfId="0" applyFont="1" applyFill="1" applyBorder="1" applyAlignment="1" applyProtection="1">
      <alignment vertical="center" readingOrder="1"/>
      <protection locked="0"/>
    </xf>
    <xf numFmtId="0" fontId="15" fillId="3" borderId="0" xfId="0" applyFont="1" applyFill="1" applyAlignment="1">
      <alignment vertical="center" readingOrder="1"/>
    </xf>
    <xf numFmtId="0" fontId="15" fillId="3" borderId="0" xfId="0" applyFont="1" applyFill="1" applyAlignment="1">
      <alignment horizontal="left" vertical="center" readingOrder="1"/>
    </xf>
    <xf numFmtId="0" fontId="15" fillId="3" borderId="0" xfId="0" applyFont="1" applyFill="1" applyAlignment="1">
      <alignment vertical="center"/>
    </xf>
    <xf numFmtId="4" fontId="15" fillId="3" borderId="0" xfId="0" applyNumberFormat="1" applyFont="1" applyFill="1" applyAlignment="1">
      <alignment vertical="center" readingOrder="1"/>
    </xf>
    <xf numFmtId="0" fontId="15" fillId="3" borderId="5" xfId="0" applyFont="1" applyFill="1" applyBorder="1" applyAlignment="1">
      <alignment vertical="center" readingOrder="1"/>
    </xf>
    <xf numFmtId="0" fontId="15" fillId="9" borderId="0" xfId="0" applyFont="1" applyFill="1" applyProtection="1">
      <protection locked="0"/>
    </xf>
    <xf numFmtId="0" fontId="15" fillId="3" borderId="4" xfId="0" applyFont="1" applyFill="1" applyBorder="1" applyAlignment="1">
      <alignment vertical="center"/>
    </xf>
    <xf numFmtId="0" fontId="15" fillId="3" borderId="5" xfId="0" applyFont="1" applyFill="1" applyBorder="1" applyAlignment="1">
      <alignment vertical="center"/>
    </xf>
    <xf numFmtId="4" fontId="15" fillId="3" borderId="5" xfId="0" applyNumberFormat="1" applyFont="1" applyFill="1" applyBorder="1" applyAlignment="1">
      <alignment vertical="center" readingOrder="1"/>
    </xf>
    <xf numFmtId="0" fontId="15" fillId="3" borderId="4" xfId="0" applyFont="1" applyFill="1" applyBorder="1" applyAlignment="1">
      <alignment vertical="center" readingOrder="1"/>
    </xf>
    <xf numFmtId="2" fontId="15" fillId="3" borderId="0" xfId="0" applyNumberFormat="1" applyFont="1" applyFill="1" applyAlignment="1">
      <alignment horizontal="center" vertical="center" readingOrder="1"/>
    </xf>
    <xf numFmtId="3" fontId="15" fillId="3" borderId="0" xfId="0" applyNumberFormat="1" applyFont="1" applyFill="1" applyAlignment="1">
      <alignment vertical="center" readingOrder="1"/>
    </xf>
    <xf numFmtId="3" fontId="15" fillId="3" borderId="5" xfId="0" applyNumberFormat="1" applyFont="1" applyFill="1" applyBorder="1" applyAlignment="1">
      <alignment vertical="center" readingOrder="1"/>
    </xf>
    <xf numFmtId="3" fontId="15" fillId="3" borderId="0" xfId="0" applyNumberFormat="1" applyFont="1" applyFill="1" applyAlignment="1">
      <alignment horizontal="center" vertical="center" readingOrder="1"/>
    </xf>
    <xf numFmtId="3" fontId="15" fillId="3" borderId="5" xfId="0" applyNumberFormat="1" applyFont="1" applyFill="1" applyBorder="1" applyAlignment="1">
      <alignment horizontal="center" vertical="center" readingOrder="1"/>
    </xf>
    <xf numFmtId="0" fontId="15" fillId="3" borderId="4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4" borderId="0" xfId="0" applyFont="1" applyFill="1" applyAlignment="1">
      <alignment vertical="center" readingOrder="1"/>
    </xf>
    <xf numFmtId="0" fontId="15" fillId="4" borderId="5" xfId="0" applyFont="1" applyFill="1" applyBorder="1" applyAlignment="1">
      <alignment vertical="center" readingOrder="1"/>
    </xf>
    <xf numFmtId="173" fontId="15" fillId="4" borderId="0" xfId="0" applyNumberFormat="1" applyFont="1" applyFill="1" applyAlignment="1">
      <alignment horizontal="left" vertical="center" readingOrder="1"/>
    </xf>
    <xf numFmtId="0" fontId="15" fillId="3" borderId="0" xfId="0" applyFont="1" applyFill="1" applyAlignment="1">
      <alignment horizontal="center" vertical="center" readingOrder="1"/>
    </xf>
    <xf numFmtId="173" fontId="15" fillId="3" borderId="0" xfId="0" applyNumberFormat="1" applyFont="1" applyFill="1" applyAlignment="1">
      <alignment horizontal="center" vertical="center" readingOrder="1"/>
    </xf>
    <xf numFmtId="0" fontId="15" fillId="4" borderId="6" xfId="0" applyFont="1" applyFill="1" applyBorder="1"/>
    <xf numFmtId="0" fontId="16" fillId="4" borderId="7" xfId="0" applyFont="1" applyFill="1" applyBorder="1"/>
    <xf numFmtId="0" fontId="16" fillId="4" borderId="8" xfId="0" applyFont="1" applyFill="1" applyBorder="1"/>
    <xf numFmtId="0" fontId="15" fillId="0" borderId="0" xfId="0" applyFont="1"/>
    <xf numFmtId="0" fontId="15" fillId="8" borderId="0" xfId="0" applyFont="1" applyFill="1" applyAlignment="1">
      <alignment vertical="center"/>
    </xf>
    <xf numFmtId="0" fontId="15" fillId="0" borderId="0" xfId="0" applyFont="1" applyProtection="1">
      <protection locked="0"/>
    </xf>
    <xf numFmtId="0" fontId="16" fillId="3" borderId="9" xfId="0" applyFont="1" applyFill="1" applyBorder="1" applyAlignment="1" applyProtection="1">
      <alignment vertical="center"/>
      <protection locked="0"/>
    </xf>
    <xf numFmtId="0" fontId="8" fillId="3" borderId="11" xfId="0" applyFont="1" applyFill="1" applyBorder="1" applyAlignment="1">
      <alignment vertical="center"/>
    </xf>
    <xf numFmtId="0" fontId="15" fillId="13" borderId="9" xfId="0" applyFont="1" applyFill="1" applyBorder="1" applyAlignment="1" applyProtection="1">
      <alignment vertical="center"/>
      <protection locked="0"/>
    </xf>
    <xf numFmtId="0" fontId="15" fillId="13" borderId="10" xfId="0" applyFont="1" applyFill="1" applyBorder="1" applyAlignment="1" applyProtection="1">
      <alignment vertical="center"/>
      <protection locked="0"/>
    </xf>
    <xf numFmtId="0" fontId="15" fillId="13" borderId="11" xfId="0" applyFont="1" applyFill="1" applyBorder="1" applyAlignment="1" applyProtection="1">
      <alignment vertical="center"/>
      <protection locked="0"/>
    </xf>
    <xf numFmtId="0" fontId="16" fillId="13" borderId="0" xfId="0" applyFont="1" applyFill="1" applyAlignment="1">
      <alignment vertical="center"/>
    </xf>
    <xf numFmtId="0" fontId="16" fillId="3" borderId="1" xfId="0" applyFont="1" applyFill="1" applyBorder="1" applyAlignment="1">
      <alignment vertical="center"/>
    </xf>
    <xf numFmtId="0" fontId="16" fillId="3" borderId="2" xfId="0" applyFont="1" applyFill="1" applyBorder="1" applyAlignment="1">
      <alignment vertical="center"/>
    </xf>
    <xf numFmtId="0" fontId="16" fillId="3" borderId="3" xfId="0" applyFont="1" applyFill="1" applyBorder="1" applyAlignment="1">
      <alignment vertical="center"/>
    </xf>
    <xf numFmtId="0" fontId="4" fillId="0" borderId="0" xfId="0" applyFont="1"/>
    <xf numFmtId="0" fontId="16" fillId="3" borderId="4" xfId="0" applyFont="1" applyFill="1" applyBorder="1" applyAlignment="1">
      <alignment vertical="center"/>
    </xf>
    <xf numFmtId="0" fontId="16" fillId="3" borderId="5" xfId="0" applyFont="1" applyFill="1" applyBorder="1" applyAlignment="1">
      <alignment vertical="center"/>
    </xf>
    <xf numFmtId="0" fontId="17" fillId="4" borderId="0" xfId="0" applyFont="1" applyFill="1"/>
    <xf numFmtId="0" fontId="16" fillId="4" borderId="6" xfId="0" applyFont="1" applyFill="1" applyBorder="1"/>
    <xf numFmtId="0" fontId="18" fillId="0" borderId="0" xfId="0" applyFont="1"/>
    <xf numFmtId="0" fontId="18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0" fillId="0" borderId="0" xfId="0" applyProtection="1">
      <protection locked="0"/>
    </xf>
    <xf numFmtId="0" fontId="19" fillId="0" borderId="0" xfId="0" applyFont="1" applyProtection="1">
      <protection locked="0"/>
    </xf>
    <xf numFmtId="164" fontId="19" fillId="0" borderId="0" xfId="0" applyNumberFormat="1" applyFont="1" applyProtection="1">
      <protection locked="0"/>
    </xf>
    <xf numFmtId="0" fontId="10" fillId="0" borderId="0" xfId="0" applyFont="1" applyProtection="1">
      <protection locked="0"/>
    </xf>
    <xf numFmtId="0" fontId="20" fillId="0" borderId="0" xfId="0" applyFont="1" applyProtection="1">
      <protection locked="0"/>
    </xf>
    <xf numFmtId="0" fontId="22" fillId="0" borderId="0" xfId="0" applyFont="1" applyProtection="1">
      <protection locked="0"/>
    </xf>
    <xf numFmtId="0" fontId="22" fillId="9" borderId="0" xfId="0" applyFont="1" applyFill="1" applyProtection="1">
      <protection locked="0"/>
    </xf>
    <xf numFmtId="0" fontId="18" fillId="9" borderId="0" xfId="0" applyFont="1" applyFill="1" applyProtection="1">
      <protection locked="0"/>
    </xf>
    <xf numFmtId="0" fontId="25" fillId="0" borderId="0" xfId="0" applyFont="1" applyProtection="1">
      <protection locked="0"/>
    </xf>
    <xf numFmtId="4" fontId="22" fillId="0" borderId="0" xfId="0" applyNumberFormat="1" applyFont="1" applyProtection="1">
      <protection locked="0"/>
    </xf>
    <xf numFmtId="0" fontId="27" fillId="0" borderId="0" xfId="0" applyFont="1" applyAlignment="1">
      <alignment vertical="center" readingOrder="1"/>
    </xf>
    <xf numFmtId="0" fontId="28" fillId="0" borderId="0" xfId="0" applyFont="1" applyAlignment="1">
      <alignment horizontal="center" vertical="center" readingOrder="1"/>
    </xf>
    <xf numFmtId="173" fontId="27" fillId="0" borderId="0" xfId="0" applyNumberFormat="1" applyFont="1" applyAlignment="1">
      <alignment horizontal="right" vertical="center" readingOrder="1"/>
    </xf>
    <xf numFmtId="2" fontId="28" fillId="0" borderId="0" xfId="0" applyNumberFormat="1" applyFont="1" applyAlignment="1">
      <alignment horizontal="right" vertical="center" readingOrder="1"/>
    </xf>
    <xf numFmtId="0" fontId="28" fillId="0" borderId="0" xfId="0" applyFont="1" applyAlignment="1">
      <alignment vertical="center" readingOrder="1"/>
    </xf>
    <xf numFmtId="10" fontId="27" fillId="0" borderId="0" xfId="0" applyNumberFormat="1" applyFont="1" applyAlignment="1">
      <alignment horizontal="right" vertical="center" readingOrder="1"/>
    </xf>
    <xf numFmtId="10" fontId="27" fillId="0" borderId="0" xfId="2" applyNumberFormat="1" applyFont="1" applyFill="1" applyBorder="1" applyAlignment="1" applyProtection="1">
      <alignment horizontal="right" vertical="center" readingOrder="1"/>
    </xf>
    <xf numFmtId="10" fontId="27" fillId="0" borderId="0" xfId="0" applyNumberFormat="1" applyFont="1" applyAlignment="1" applyProtection="1">
      <alignment horizontal="right" vertical="center" readingOrder="1"/>
      <protection locked="0"/>
    </xf>
    <xf numFmtId="173" fontId="27" fillId="0" borderId="0" xfId="0" applyNumberFormat="1" applyFont="1" applyAlignment="1" applyProtection="1">
      <alignment horizontal="right" vertical="center" readingOrder="1"/>
      <protection locked="0"/>
    </xf>
    <xf numFmtId="173" fontId="28" fillId="0" borderId="0" xfId="0" applyNumberFormat="1" applyFont="1" applyAlignment="1">
      <alignment horizontal="center" vertical="center" readingOrder="1"/>
    </xf>
    <xf numFmtId="0" fontId="28" fillId="0" borderId="0" xfId="0" applyFont="1" applyAlignment="1">
      <alignment horizontal="left" vertical="center" readingOrder="1"/>
    </xf>
    <xf numFmtId="10" fontId="28" fillId="0" borderId="0" xfId="0" applyNumberFormat="1" applyFont="1" applyAlignment="1">
      <alignment horizontal="center" vertical="center" readingOrder="1"/>
    </xf>
    <xf numFmtId="0" fontId="27" fillId="0" borderId="0" xfId="0" applyFont="1" applyAlignment="1">
      <alignment horizontal="left" vertical="center" readingOrder="1"/>
    </xf>
    <xf numFmtId="174" fontId="27" fillId="0" borderId="0" xfId="2" applyNumberFormat="1" applyFont="1" applyFill="1" applyBorder="1" applyAlignment="1" applyProtection="1">
      <alignment horizontal="right" vertical="center" readingOrder="1"/>
    </xf>
    <xf numFmtId="0" fontId="22" fillId="0" borderId="0" xfId="0" quotePrefix="1" applyFont="1" applyProtection="1">
      <protection locked="0"/>
    </xf>
    <xf numFmtId="0" fontId="36" fillId="3" borderId="4" xfId="0" applyFont="1" applyFill="1" applyBorder="1" applyAlignment="1">
      <alignment horizontal="left" vertical="center" readingOrder="1"/>
    </xf>
    <xf numFmtId="0" fontId="36" fillId="3" borderId="0" xfId="0" applyFont="1" applyFill="1" applyAlignment="1">
      <alignment horizontal="left" vertical="center" readingOrder="1"/>
    </xf>
    <xf numFmtId="0" fontId="36" fillId="3" borderId="0" xfId="0" applyFont="1" applyFill="1" applyAlignment="1">
      <alignment vertical="center" readingOrder="1"/>
    </xf>
    <xf numFmtId="4" fontId="38" fillId="3" borderId="0" xfId="0" applyNumberFormat="1" applyFont="1" applyFill="1" applyAlignment="1">
      <alignment horizontal="center" vertical="center" readingOrder="1"/>
    </xf>
    <xf numFmtId="4" fontId="38" fillId="3" borderId="5" xfId="0" applyNumberFormat="1" applyFont="1" applyFill="1" applyBorder="1" applyAlignment="1">
      <alignment horizontal="center" vertical="center" readingOrder="1"/>
    </xf>
    <xf numFmtId="2" fontId="34" fillId="8" borderId="0" xfId="0" applyNumberFormat="1" applyFont="1" applyFill="1" applyAlignment="1" applyProtection="1">
      <alignment horizontal="right" vertical="center" readingOrder="1"/>
      <protection locked="0"/>
    </xf>
    <xf numFmtId="2" fontId="34" fillId="9" borderId="0" xfId="0" applyNumberFormat="1" applyFont="1" applyFill="1" applyAlignment="1" applyProtection="1">
      <alignment horizontal="right" vertical="center" readingOrder="1"/>
      <protection locked="0"/>
    </xf>
    <xf numFmtId="4" fontId="37" fillId="3" borderId="0" xfId="0" applyNumberFormat="1" applyFont="1" applyFill="1" applyAlignment="1" applyProtection="1">
      <alignment horizontal="right" vertical="center" readingOrder="1"/>
      <protection locked="0"/>
    </xf>
    <xf numFmtId="0" fontId="28" fillId="3" borderId="7" xfId="0" applyFont="1" applyFill="1" applyBorder="1" applyAlignment="1">
      <alignment vertical="center" readingOrder="1"/>
    </xf>
    <xf numFmtId="0" fontId="28" fillId="3" borderId="8" xfId="0" applyFont="1" applyFill="1" applyBorder="1" applyAlignment="1">
      <alignment vertical="center" readingOrder="1"/>
    </xf>
    <xf numFmtId="0" fontId="8" fillId="14" borderId="0" xfId="0" applyFont="1" applyFill="1" applyAlignment="1" applyProtection="1">
      <alignment horizontal="center" vertical="center" wrapText="1"/>
      <protection locked="0"/>
    </xf>
    <xf numFmtId="0" fontId="28" fillId="8" borderId="2" xfId="0" applyFont="1" applyFill="1" applyBorder="1" applyAlignment="1">
      <alignment horizontal="center" vertical="center" readingOrder="1"/>
    </xf>
    <xf numFmtId="0" fontId="16" fillId="3" borderId="0" xfId="0" applyFont="1" applyFill="1" applyAlignment="1">
      <alignment vertical="center"/>
    </xf>
    <xf numFmtId="0" fontId="37" fillId="3" borderId="0" xfId="3" applyNumberFormat="1" applyFont="1" applyFill="1" applyBorder="1" applyAlignment="1" applyProtection="1">
      <alignment vertical="center"/>
    </xf>
    <xf numFmtId="0" fontId="22" fillId="0" borderId="0" xfId="0" applyFont="1"/>
    <xf numFmtId="0" fontId="30" fillId="9" borderId="0" xfId="0" applyFont="1" applyFill="1" applyAlignment="1" applyProtection="1">
      <alignment horizontal="center"/>
      <protection locked="0"/>
    </xf>
    <xf numFmtId="0" fontId="41" fillId="0" borderId="0" xfId="0" applyFont="1" applyAlignment="1" applyProtection="1">
      <alignment horizontal="left" vertical="center"/>
      <protection locked="0"/>
    </xf>
    <xf numFmtId="0" fontId="42" fillId="0" borderId="0" xfId="0" applyFont="1" applyProtection="1">
      <protection locked="0"/>
    </xf>
    <xf numFmtId="0" fontId="43" fillId="0" borderId="0" xfId="0" applyFont="1" applyProtection="1">
      <protection locked="0"/>
    </xf>
    <xf numFmtId="0" fontId="0" fillId="9" borderId="0" xfId="0" applyFill="1" applyProtection="1">
      <protection locked="0"/>
    </xf>
    <xf numFmtId="0" fontId="1" fillId="0" borderId="0" xfId="4" applyProtection="1">
      <protection locked="0"/>
    </xf>
    <xf numFmtId="0" fontId="1" fillId="0" borderId="0" xfId="4" applyAlignment="1" applyProtection="1">
      <alignment horizontal="center"/>
      <protection locked="0"/>
    </xf>
    <xf numFmtId="0" fontId="1" fillId="0" borderId="0" xfId="4" applyAlignment="1" applyProtection="1">
      <alignment horizontal="left"/>
      <protection locked="0"/>
    </xf>
    <xf numFmtId="0" fontId="1" fillId="9" borderId="0" xfId="4" applyFill="1" applyProtection="1">
      <protection locked="0"/>
    </xf>
    <xf numFmtId="0" fontId="45" fillId="9" borderId="0" xfId="0" applyFont="1" applyFill="1" applyAlignment="1" applyProtection="1">
      <alignment vertical="center"/>
      <protection locked="0"/>
    </xf>
    <xf numFmtId="0" fontId="1" fillId="0" borderId="0" xfId="4"/>
    <xf numFmtId="0" fontId="1" fillId="0" borderId="0" xfId="4" applyAlignment="1">
      <alignment horizontal="center"/>
    </xf>
    <xf numFmtId="0" fontId="1" fillId="0" borderId="0" xfId="4" applyAlignment="1">
      <alignment horizontal="left"/>
    </xf>
    <xf numFmtId="0" fontId="3" fillId="19" borderId="84" xfId="4" applyFont="1" applyFill="1" applyBorder="1" applyAlignment="1">
      <alignment horizontal="center"/>
    </xf>
    <xf numFmtId="0" fontId="3" fillId="19" borderId="85" xfId="4" applyFont="1" applyFill="1" applyBorder="1" applyAlignment="1">
      <alignment horizontal="center" vertical="center"/>
    </xf>
    <xf numFmtId="0" fontId="3" fillId="19" borderId="86" xfId="4" applyFont="1" applyFill="1" applyBorder="1" applyAlignment="1">
      <alignment horizontal="left" vertical="center"/>
    </xf>
    <xf numFmtId="0" fontId="1" fillId="20" borderId="87" xfId="4" applyFill="1" applyBorder="1" applyAlignment="1">
      <alignment horizontal="center"/>
    </xf>
    <xf numFmtId="0" fontId="1" fillId="20" borderId="88" xfId="4" applyFill="1" applyBorder="1" applyAlignment="1">
      <alignment horizontal="center" vertical="center"/>
    </xf>
    <xf numFmtId="0" fontId="1" fillId="20" borderId="89" xfId="4" applyFill="1" applyBorder="1" applyAlignment="1">
      <alignment horizontal="left" vertical="center"/>
    </xf>
    <xf numFmtId="0" fontId="1" fillId="19" borderId="87" xfId="4" applyFill="1" applyBorder="1" applyAlignment="1">
      <alignment horizontal="center"/>
    </xf>
    <xf numFmtId="0" fontId="1" fillId="21" borderId="88" xfId="4" applyFill="1" applyBorder="1" applyAlignment="1">
      <alignment horizontal="center" vertical="center"/>
    </xf>
    <xf numFmtId="0" fontId="1" fillId="21" borderId="89" xfId="4" applyFill="1" applyBorder="1" applyAlignment="1">
      <alignment horizontal="left" vertical="center"/>
    </xf>
    <xf numFmtId="0" fontId="1" fillId="19" borderId="90" xfId="4" applyFill="1" applyBorder="1" applyAlignment="1">
      <alignment horizontal="center"/>
    </xf>
    <xf numFmtId="0" fontId="1" fillId="21" borderId="91" xfId="4" applyFill="1" applyBorder="1" applyAlignment="1">
      <alignment horizontal="center" vertical="center"/>
    </xf>
    <xf numFmtId="0" fontId="1" fillId="21" borderId="92" xfId="4" applyFill="1" applyBorder="1" applyAlignment="1">
      <alignment horizontal="left" vertical="center"/>
    </xf>
    <xf numFmtId="0" fontId="47" fillId="0" borderId="0" xfId="0" applyFont="1"/>
    <xf numFmtId="0" fontId="47" fillId="0" borderId="0" xfId="0" applyFont="1" applyAlignment="1">
      <alignment horizontal="center"/>
    </xf>
    <xf numFmtId="0" fontId="47" fillId="9" borderId="0" xfId="0" applyFont="1" applyFill="1"/>
    <xf numFmtId="0" fontId="45" fillId="0" borderId="93" xfId="0" applyFont="1" applyBorder="1" applyAlignment="1">
      <alignment vertical="center"/>
    </xf>
    <xf numFmtId="0" fontId="48" fillId="0" borderId="0" xfId="0" applyFont="1" applyAlignment="1">
      <alignment vertical="center"/>
    </xf>
    <xf numFmtId="0" fontId="49" fillId="7" borderId="0" xfId="5" applyFont="1" applyFill="1" applyAlignment="1">
      <alignment vertical="center"/>
    </xf>
    <xf numFmtId="0" fontId="47" fillId="0" borderId="0" xfId="0" applyFont="1" applyAlignment="1">
      <alignment vertical="center"/>
    </xf>
    <xf numFmtId="0" fontId="49" fillId="0" borderId="0" xfId="5" applyFont="1" applyAlignment="1">
      <alignment horizontal="center" vertical="center"/>
    </xf>
    <xf numFmtId="0" fontId="49" fillId="0" borderId="0" xfId="5" applyFont="1" applyAlignment="1">
      <alignment vertical="center"/>
    </xf>
    <xf numFmtId="0" fontId="48" fillId="0" borderId="0" xfId="0" applyFont="1" applyAlignment="1">
      <alignment horizontal="center" vertical="center"/>
    </xf>
    <xf numFmtId="0" fontId="50" fillId="22" borderId="4" xfId="5" applyFont="1" applyFill="1" applyBorder="1" applyAlignment="1">
      <alignment horizontal="center" vertical="center"/>
    </xf>
    <xf numFmtId="0" fontId="50" fillId="22" borderId="94" xfId="5" applyFont="1" applyFill="1" applyBorder="1" applyAlignment="1">
      <alignment horizontal="center" vertical="center"/>
    </xf>
    <xf numFmtId="0" fontId="50" fillId="22" borderId="0" xfId="5" applyFont="1" applyFill="1" applyAlignment="1">
      <alignment horizontal="center" vertical="center"/>
    </xf>
    <xf numFmtId="0" fontId="50" fillId="22" borderId="5" xfId="5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/>
    <xf numFmtId="0" fontId="51" fillId="23" borderId="95" xfId="5" applyFont="1" applyFill="1" applyBorder="1" applyAlignment="1">
      <alignment horizontal="center"/>
    </xf>
    <xf numFmtId="0" fontId="51" fillId="23" borderId="24" xfId="5" applyFont="1" applyFill="1" applyBorder="1" applyAlignment="1">
      <alignment horizontal="center"/>
    </xf>
    <xf numFmtId="0" fontId="51" fillId="23" borderId="24" xfId="5" applyFont="1" applyFill="1" applyBorder="1" applyAlignment="1">
      <alignment horizontal="left"/>
    </xf>
    <xf numFmtId="49" fontId="51" fillId="23" borderId="24" xfId="5" applyNumberFormat="1" applyFont="1" applyFill="1" applyBorder="1" applyAlignment="1">
      <alignment horizontal="center"/>
    </xf>
    <xf numFmtId="49" fontId="51" fillId="23" borderId="96" xfId="5" applyNumberFormat="1" applyFont="1" applyFill="1" applyBorder="1" applyAlignment="1">
      <alignment horizontal="center"/>
    </xf>
    <xf numFmtId="0" fontId="52" fillId="23" borderId="95" xfId="5" applyFont="1" applyFill="1" applyBorder="1" applyAlignment="1">
      <alignment horizontal="center"/>
    </xf>
    <xf numFmtId="0" fontId="52" fillId="23" borderId="24" xfId="5" applyFont="1" applyFill="1" applyBorder="1" applyAlignment="1">
      <alignment horizontal="center"/>
    </xf>
    <xf numFmtId="0" fontId="52" fillId="23" borderId="24" xfId="5" applyFont="1" applyFill="1" applyBorder="1"/>
    <xf numFmtId="0" fontId="52" fillId="23" borderId="96" xfId="5" applyFont="1" applyFill="1" applyBorder="1" applyAlignment="1">
      <alignment horizontal="center"/>
    </xf>
    <xf numFmtId="0" fontId="51" fillId="0" borderId="4" xfId="5" applyFont="1" applyBorder="1" applyAlignment="1">
      <alignment horizontal="center"/>
    </xf>
    <xf numFmtId="0" fontId="51" fillId="0" borderId="0" xfId="5" applyFont="1" applyAlignment="1">
      <alignment horizontal="center"/>
    </xf>
    <xf numFmtId="0" fontId="51" fillId="0" borderId="0" xfId="5" applyFont="1" applyAlignment="1">
      <alignment horizontal="left"/>
    </xf>
    <xf numFmtId="0" fontId="51" fillId="0" borderId="5" xfId="5" applyFont="1" applyBorder="1" applyAlignment="1">
      <alignment horizontal="center"/>
    </xf>
    <xf numFmtId="0" fontId="52" fillId="0" borderId="4" xfId="5" applyFont="1" applyBorder="1" applyAlignment="1">
      <alignment horizontal="center"/>
    </xf>
    <xf numFmtId="0" fontId="52" fillId="0" borderId="0" xfId="5" applyFont="1" applyAlignment="1">
      <alignment horizontal="center"/>
    </xf>
    <xf numFmtId="0" fontId="52" fillId="0" borderId="0" xfId="5" applyFont="1"/>
    <xf numFmtId="0" fontId="52" fillId="0" borderId="5" xfId="5" applyFont="1" applyBorder="1" applyAlignment="1">
      <alignment horizontal="center"/>
    </xf>
    <xf numFmtId="0" fontId="51" fillId="23" borderId="4" xfId="5" applyFont="1" applyFill="1" applyBorder="1" applyAlignment="1">
      <alignment horizontal="center"/>
    </xf>
    <xf numFmtId="0" fontId="51" fillId="23" borderId="0" xfId="5" applyFont="1" applyFill="1" applyAlignment="1">
      <alignment horizontal="center"/>
    </xf>
    <xf numFmtId="0" fontId="51" fillId="23" borderId="0" xfId="5" applyFont="1" applyFill="1" applyAlignment="1">
      <alignment horizontal="left"/>
    </xf>
    <xf numFmtId="49" fontId="51" fillId="23" borderId="0" xfId="5" applyNumberFormat="1" applyFont="1" applyFill="1" applyAlignment="1">
      <alignment horizontal="center"/>
    </xf>
    <xf numFmtId="49" fontId="51" fillId="23" borderId="5" xfId="5" applyNumberFormat="1" applyFont="1" applyFill="1" applyBorder="1" applyAlignment="1">
      <alignment horizontal="center"/>
    </xf>
    <xf numFmtId="0" fontId="52" fillId="23" borderId="4" xfId="5" applyFont="1" applyFill="1" applyBorder="1" applyAlignment="1">
      <alignment horizontal="center"/>
    </xf>
    <xf numFmtId="0" fontId="52" fillId="23" borderId="0" xfId="5" applyFont="1" applyFill="1" applyAlignment="1">
      <alignment horizontal="center"/>
    </xf>
    <xf numFmtId="0" fontId="52" fillId="23" borderId="0" xfId="5" applyFont="1" applyFill="1"/>
    <xf numFmtId="0" fontId="52" fillId="23" borderId="5" xfId="5" applyFont="1" applyFill="1" applyBorder="1" applyAlignment="1">
      <alignment horizontal="center"/>
    </xf>
    <xf numFmtId="49" fontId="51" fillId="0" borderId="0" xfId="5" applyNumberFormat="1" applyFont="1" applyAlignment="1">
      <alignment horizontal="center"/>
    </xf>
    <xf numFmtId="49" fontId="51" fillId="0" borderId="5" xfId="5" applyNumberFormat="1" applyFont="1" applyBorder="1" applyAlignment="1">
      <alignment horizontal="center"/>
    </xf>
    <xf numFmtId="0" fontId="51" fillId="23" borderId="5" xfId="5" applyFont="1" applyFill="1" applyBorder="1" applyAlignment="1">
      <alignment horizontal="center"/>
    </xf>
    <xf numFmtId="0" fontId="52" fillId="23" borderId="26" xfId="5" applyFont="1" applyFill="1" applyBorder="1" applyAlignment="1">
      <alignment horizontal="center"/>
    </xf>
    <xf numFmtId="0" fontId="52" fillId="23" borderId="27" xfId="5" applyFont="1" applyFill="1" applyBorder="1" applyAlignment="1">
      <alignment horizontal="center"/>
    </xf>
    <xf numFmtId="0" fontId="52" fillId="23" borderId="27" xfId="5" applyFont="1" applyFill="1" applyBorder="1"/>
    <xf numFmtId="0" fontId="52" fillId="23" borderId="28" xfId="5" applyFont="1" applyFill="1" applyBorder="1" applyAlignment="1">
      <alignment horizontal="center"/>
    </xf>
    <xf numFmtId="0" fontId="52" fillId="23" borderId="94" xfId="5" applyFont="1" applyFill="1" applyBorder="1" applyAlignment="1">
      <alignment horizontal="center"/>
    </xf>
    <xf numFmtId="0" fontId="52" fillId="23" borderId="97" xfId="5" applyFont="1" applyFill="1" applyBorder="1" applyAlignment="1">
      <alignment horizontal="center"/>
    </xf>
    <xf numFmtId="0" fontId="52" fillId="0" borderId="94" xfId="5" applyFont="1" applyBorder="1" applyAlignment="1">
      <alignment horizontal="center"/>
    </xf>
    <xf numFmtId="0" fontId="52" fillId="0" borderId="97" xfId="5" applyFont="1" applyBorder="1" applyAlignment="1">
      <alignment horizontal="center"/>
    </xf>
    <xf numFmtId="0" fontId="52" fillId="0" borderId="26" xfId="5" applyFont="1" applyBorder="1" applyAlignment="1">
      <alignment horizontal="center"/>
    </xf>
    <xf numFmtId="0" fontId="52" fillId="0" borderId="27" xfId="5" applyFont="1" applyBorder="1" applyAlignment="1">
      <alignment horizontal="center"/>
    </xf>
    <xf numFmtId="0" fontId="52" fillId="0" borderId="27" xfId="5" applyFont="1" applyBorder="1"/>
    <xf numFmtId="0" fontId="52" fillId="0" borderId="28" xfId="5" applyFont="1" applyBorder="1" applyAlignment="1">
      <alignment horizontal="center"/>
    </xf>
    <xf numFmtId="0" fontId="48" fillId="9" borderId="0" xfId="0" applyFont="1" applyFill="1"/>
    <xf numFmtId="0" fontId="51" fillId="0" borderId="0" xfId="6" applyFont="1" applyAlignment="1">
      <alignment horizontal="center"/>
    </xf>
    <xf numFmtId="0" fontId="52" fillId="0" borderId="6" xfId="5" applyFont="1" applyBorder="1" applyAlignment="1">
      <alignment horizontal="center"/>
    </xf>
    <xf numFmtId="0" fontId="52" fillId="0" borderId="7" xfId="5" applyFont="1" applyBorder="1" applyAlignment="1">
      <alignment horizontal="center"/>
    </xf>
    <xf numFmtId="0" fontId="52" fillId="0" borderId="7" xfId="5" applyFont="1" applyBorder="1"/>
    <xf numFmtId="0" fontId="52" fillId="0" borderId="8" xfId="5" applyFont="1" applyBorder="1" applyAlignment="1">
      <alignment horizontal="center"/>
    </xf>
    <xf numFmtId="0" fontId="50" fillId="22" borderId="97" xfId="5" applyFont="1" applyFill="1" applyBorder="1" applyAlignment="1">
      <alignment horizontal="center" vertical="center"/>
    </xf>
    <xf numFmtId="0" fontId="50" fillId="22" borderId="94" xfId="6" applyFont="1" applyFill="1" applyBorder="1" applyAlignment="1">
      <alignment horizontal="center" vertical="center"/>
    </xf>
    <xf numFmtId="0" fontId="50" fillId="22" borderId="0" xfId="6" applyFont="1" applyFill="1" applyAlignment="1">
      <alignment horizontal="center" vertical="center"/>
    </xf>
    <xf numFmtId="0" fontId="50" fillId="22" borderId="97" xfId="6" applyFont="1" applyFill="1" applyBorder="1" applyAlignment="1">
      <alignment horizontal="center" vertical="center"/>
    </xf>
    <xf numFmtId="0" fontId="48" fillId="9" borderId="0" xfId="0" applyFont="1" applyFill="1" applyAlignment="1">
      <alignment horizontal="center" vertical="center"/>
    </xf>
    <xf numFmtId="0" fontId="53" fillId="22" borderId="94" xfId="6" applyFont="1" applyFill="1" applyBorder="1" applyAlignment="1">
      <alignment horizontal="center" vertical="center"/>
    </xf>
    <xf numFmtId="0" fontId="53" fillId="22" borderId="0" xfId="6" applyFont="1" applyFill="1" applyAlignment="1">
      <alignment horizontal="center" vertical="center"/>
    </xf>
    <xf numFmtId="0" fontId="53" fillId="22" borderId="97" xfId="6" applyFont="1" applyFill="1" applyBorder="1" applyAlignment="1">
      <alignment horizontal="center" vertical="center"/>
    </xf>
    <xf numFmtId="0" fontId="51" fillId="0" borderId="94" xfId="5" applyFont="1" applyBorder="1" applyAlignment="1">
      <alignment horizontal="center"/>
    </xf>
    <xf numFmtId="0" fontId="51" fillId="0" borderId="97" xfId="5" applyFont="1" applyBorder="1" applyAlignment="1">
      <alignment horizontal="center"/>
    </xf>
    <xf numFmtId="0" fontId="51" fillId="4" borderId="94" xfId="5" applyFont="1" applyFill="1" applyBorder="1" applyAlignment="1">
      <alignment horizontal="center"/>
    </xf>
    <xf numFmtId="0" fontId="51" fillId="4" borderId="0" xfId="5" applyFont="1" applyFill="1" applyAlignment="1">
      <alignment horizontal="left"/>
    </xf>
    <xf numFmtId="0" fontId="51" fillId="4" borderId="0" xfId="5" applyFont="1" applyFill="1" applyAlignment="1">
      <alignment horizontal="center"/>
    </xf>
    <xf numFmtId="0" fontId="51" fillId="4" borderId="97" xfId="5" applyFont="1" applyFill="1" applyBorder="1" applyAlignment="1">
      <alignment horizontal="center"/>
    </xf>
    <xf numFmtId="0" fontId="52" fillId="23" borderId="98" xfId="5" applyFont="1" applyFill="1" applyBorder="1" applyAlignment="1">
      <alignment horizontal="center"/>
    </xf>
    <xf numFmtId="0" fontId="52" fillId="23" borderId="99" xfId="5" applyFont="1" applyFill="1" applyBorder="1"/>
    <xf numFmtId="0" fontId="52" fillId="23" borderId="99" xfId="5" applyFont="1" applyFill="1" applyBorder="1" applyAlignment="1">
      <alignment horizontal="center"/>
    </xf>
    <xf numFmtId="0" fontId="52" fillId="23" borderId="100" xfId="5" applyFont="1" applyFill="1" applyBorder="1" applyAlignment="1">
      <alignment horizontal="center"/>
    </xf>
    <xf numFmtId="0" fontId="51" fillId="23" borderId="23" xfId="5" applyFont="1" applyFill="1" applyBorder="1" applyAlignment="1">
      <alignment horizontal="center"/>
    </xf>
    <xf numFmtId="49" fontId="51" fillId="23" borderId="25" xfId="5" applyNumberFormat="1" applyFont="1" applyFill="1" applyBorder="1" applyAlignment="1">
      <alignment horizontal="center"/>
    </xf>
    <xf numFmtId="0" fontId="51" fillId="23" borderId="94" xfId="5" applyFont="1" applyFill="1" applyBorder="1" applyAlignment="1">
      <alignment horizontal="center"/>
    </xf>
    <xf numFmtId="49" fontId="51" fillId="23" borderId="97" xfId="5" applyNumberFormat="1" applyFont="1" applyFill="1" applyBorder="1" applyAlignment="1">
      <alignment horizontal="center"/>
    </xf>
    <xf numFmtId="49" fontId="51" fillId="0" borderId="97" xfId="5" applyNumberFormat="1" applyFont="1" applyBorder="1" applyAlignment="1">
      <alignment horizontal="center"/>
    </xf>
    <xf numFmtId="0" fontId="51" fillId="23" borderId="97" xfId="5" applyFont="1" applyFill="1" applyBorder="1" applyAlignment="1">
      <alignment horizontal="center"/>
    </xf>
    <xf numFmtId="0" fontId="51" fillId="4" borderId="26" xfId="5" applyFont="1" applyFill="1" applyBorder="1" applyAlignment="1">
      <alignment horizontal="center"/>
    </xf>
    <xf numFmtId="0" fontId="51" fillId="4" borderId="27" xfId="5" applyFont="1" applyFill="1" applyBorder="1" applyAlignment="1">
      <alignment horizontal="center"/>
    </xf>
    <xf numFmtId="0" fontId="51" fillId="4" borderId="27" xfId="5" applyFont="1" applyFill="1" applyBorder="1" applyAlignment="1">
      <alignment horizontal="left"/>
    </xf>
    <xf numFmtId="0" fontId="51" fillId="4" borderId="28" xfId="5" applyFont="1" applyFill="1" applyBorder="1" applyAlignment="1">
      <alignment horizontal="center"/>
    </xf>
    <xf numFmtId="0" fontId="1" fillId="0" borderId="94" xfId="4" applyBorder="1"/>
    <xf numFmtId="0" fontId="1" fillId="0" borderId="97" xfId="4" applyBorder="1" applyAlignment="1">
      <alignment horizontal="left"/>
    </xf>
    <xf numFmtId="0" fontId="3" fillId="19" borderId="86" xfId="4" applyFont="1" applyFill="1" applyBorder="1" applyAlignment="1">
      <alignment horizontal="center" vertical="center"/>
    </xf>
    <xf numFmtId="0" fontId="1" fillId="20" borderId="90" xfId="4" applyFill="1" applyBorder="1" applyAlignment="1">
      <alignment horizontal="center"/>
    </xf>
    <xf numFmtId="0" fontId="1" fillId="20" borderId="91" xfId="4" applyFill="1" applyBorder="1" applyAlignment="1">
      <alignment horizontal="center" vertical="center"/>
    </xf>
    <xf numFmtId="0" fontId="1" fillId="20" borderId="92" xfId="4" applyFill="1" applyBorder="1" applyAlignment="1">
      <alignment horizontal="left" vertical="center"/>
    </xf>
    <xf numFmtId="0" fontId="12" fillId="10" borderId="34" xfId="0" applyFont="1" applyFill="1" applyBorder="1" applyAlignment="1">
      <alignment horizontal="center" vertical="center" textRotation="90"/>
    </xf>
    <xf numFmtId="0" fontId="2" fillId="1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170" fontId="16" fillId="6" borderId="0" xfId="0" applyNumberFormat="1" applyFont="1" applyFill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/>
    </xf>
    <xf numFmtId="0" fontId="8" fillId="6" borderId="7" xfId="0" applyFont="1" applyFill="1" applyBorder="1" applyAlignment="1">
      <alignment horizontal="left" vertical="center"/>
    </xf>
    <xf numFmtId="4" fontId="8" fillId="6" borderId="12" xfId="0" applyNumberFormat="1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 textRotation="90"/>
    </xf>
    <xf numFmtId="0" fontId="12" fillId="10" borderId="31" xfId="0" applyFont="1" applyFill="1" applyBorder="1" applyAlignment="1">
      <alignment horizontal="center" vertical="center" textRotation="90"/>
    </xf>
    <xf numFmtId="0" fontId="37" fillId="7" borderId="0" xfId="0" applyFont="1" applyFill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12" borderId="9" xfId="0" applyFont="1" applyFill="1" applyBorder="1" applyAlignment="1" applyProtection="1">
      <alignment horizontal="center" vertical="center" wrapText="1"/>
      <protection locked="0"/>
    </xf>
    <xf numFmtId="0" fontId="8" fillId="12" borderId="10" xfId="0" applyFont="1" applyFill="1" applyBorder="1" applyAlignment="1" applyProtection="1">
      <alignment horizontal="center" vertical="center" wrapText="1"/>
      <protection locked="0"/>
    </xf>
    <xf numFmtId="0" fontId="8" fillId="12" borderId="11" xfId="0" applyFont="1" applyFill="1" applyBorder="1" applyAlignment="1" applyProtection="1">
      <alignment horizontal="center" vertical="center" wrapText="1"/>
      <protection locked="0"/>
    </xf>
    <xf numFmtId="0" fontId="7" fillId="4" borderId="82" xfId="0" applyFont="1" applyFill="1" applyBorder="1" applyAlignment="1">
      <alignment horizontal="left" vertical="center" wrapText="1"/>
    </xf>
    <xf numFmtId="0" fontId="7" fillId="4" borderId="20" xfId="0" applyFont="1" applyFill="1" applyBorder="1" applyAlignment="1">
      <alignment horizontal="left" vertical="center" wrapText="1"/>
    </xf>
    <xf numFmtId="0" fontId="7" fillId="4" borderId="83" xfId="0" applyFont="1" applyFill="1" applyBorder="1" applyAlignment="1">
      <alignment horizontal="left" vertical="center" wrapText="1"/>
    </xf>
    <xf numFmtId="0" fontId="39" fillId="4" borderId="6" xfId="3" applyFont="1" applyFill="1" applyBorder="1" applyAlignment="1">
      <alignment horizontal="center" vertical="center" wrapText="1"/>
    </xf>
    <xf numFmtId="0" fontId="39" fillId="4" borderId="7" xfId="3" applyFont="1" applyFill="1" applyBorder="1" applyAlignment="1">
      <alignment horizontal="center" vertical="center" wrapText="1"/>
    </xf>
    <xf numFmtId="0" fontId="39" fillId="4" borderId="8" xfId="3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165" fontId="40" fillId="13" borderId="0" xfId="1" applyFont="1" applyFill="1" applyBorder="1" applyAlignment="1" applyProtection="1">
      <alignment horizontal="left" vertical="center"/>
    </xf>
    <xf numFmtId="0" fontId="22" fillId="4" borderId="5" xfId="0" applyFont="1" applyFill="1" applyBorder="1" applyAlignment="1">
      <alignment horizontal="center"/>
    </xf>
    <xf numFmtId="0" fontId="37" fillId="3" borderId="0" xfId="0" applyFont="1" applyFill="1" applyAlignment="1">
      <alignment horizontal="center" vertical="center"/>
    </xf>
    <xf numFmtId="0" fontId="37" fillId="3" borderId="0" xfId="3" applyNumberFormat="1" applyFont="1" applyFill="1" applyBorder="1" applyAlignment="1" applyProtection="1">
      <alignment horizontal="center" vertical="center"/>
    </xf>
    <xf numFmtId="0" fontId="36" fillId="3" borderId="4" xfId="0" applyFont="1" applyFill="1" applyBorder="1" applyAlignment="1">
      <alignment horizontal="left" vertical="center" readingOrder="1"/>
    </xf>
    <xf numFmtId="0" fontId="36" fillId="3" borderId="0" xfId="0" applyFont="1" applyFill="1" applyAlignment="1">
      <alignment horizontal="left" vertical="center" readingOrder="1"/>
    </xf>
    <xf numFmtId="0" fontId="36" fillId="3" borderId="77" xfId="0" applyFont="1" applyFill="1" applyBorder="1" applyAlignment="1">
      <alignment horizontal="left" vertical="center" readingOrder="1"/>
    </xf>
    <xf numFmtId="4" fontId="37" fillId="8" borderId="78" xfId="0" applyNumberFormat="1" applyFont="1" applyFill="1" applyBorder="1" applyAlignment="1" applyProtection="1">
      <alignment horizontal="right" vertical="center" readingOrder="1"/>
      <protection locked="0"/>
    </xf>
    <xf numFmtId="4" fontId="37" fillId="8" borderId="79" xfId="0" applyNumberFormat="1" applyFont="1" applyFill="1" applyBorder="1" applyAlignment="1" applyProtection="1">
      <alignment horizontal="right" vertical="center" readingOrder="1"/>
      <protection locked="0"/>
    </xf>
    <xf numFmtId="4" fontId="37" fillId="8" borderId="80" xfId="0" applyNumberFormat="1" applyFont="1" applyFill="1" applyBorder="1" applyAlignment="1" applyProtection="1">
      <alignment horizontal="right" vertical="center" readingOrder="1"/>
      <protection locked="0"/>
    </xf>
    <xf numFmtId="0" fontId="36" fillId="3" borderId="81" xfId="0" applyFont="1" applyFill="1" applyBorder="1" applyAlignment="1">
      <alignment horizontal="left" vertical="center" readingOrder="1"/>
    </xf>
    <xf numFmtId="0" fontId="28" fillId="8" borderId="10" xfId="0" applyFont="1" applyFill="1" applyBorder="1" applyAlignment="1">
      <alignment horizontal="center" vertical="center" readingOrder="1"/>
    </xf>
    <xf numFmtId="0" fontId="36" fillId="3" borderId="4" xfId="0" applyFont="1" applyFill="1" applyBorder="1" applyAlignment="1">
      <alignment horizontal="center" vertical="center" readingOrder="1"/>
    </xf>
    <xf numFmtId="0" fontId="36" fillId="3" borderId="0" xfId="0" applyFont="1" applyFill="1" applyAlignment="1">
      <alignment horizontal="center" vertical="center" readingOrder="1"/>
    </xf>
    <xf numFmtId="0" fontId="36" fillId="3" borderId="5" xfId="0" applyFont="1" applyFill="1" applyBorder="1" applyAlignment="1">
      <alignment horizontal="center" vertical="center" readingOrder="1"/>
    </xf>
    <xf numFmtId="4" fontId="38" fillId="3" borderId="81" xfId="0" applyNumberFormat="1" applyFont="1" applyFill="1" applyBorder="1" applyAlignment="1">
      <alignment horizontal="center" vertical="center" readingOrder="1"/>
    </xf>
    <xf numFmtId="4" fontId="38" fillId="3" borderId="0" xfId="0" applyNumberFormat="1" applyFont="1" applyFill="1" applyAlignment="1">
      <alignment horizontal="center" vertical="center" readingOrder="1"/>
    </xf>
    <xf numFmtId="4" fontId="38" fillId="3" borderId="5" xfId="0" applyNumberFormat="1" applyFont="1" applyFill="1" applyBorder="1" applyAlignment="1">
      <alignment horizontal="center" vertical="center" readingOrder="1"/>
    </xf>
    <xf numFmtId="0" fontId="36" fillId="3" borderId="4" xfId="0" applyFont="1" applyFill="1" applyBorder="1" applyAlignment="1">
      <alignment vertical="center" readingOrder="1"/>
    </xf>
    <xf numFmtId="0" fontId="36" fillId="3" borderId="0" xfId="0" applyFont="1" applyFill="1" applyAlignment="1">
      <alignment vertical="center" readingOrder="1"/>
    </xf>
    <xf numFmtId="0" fontId="36" fillId="3" borderId="5" xfId="0" applyFont="1" applyFill="1" applyBorder="1" applyAlignment="1">
      <alignment vertical="center" readingOrder="1"/>
    </xf>
    <xf numFmtId="0" fontId="36" fillId="3" borderId="5" xfId="0" applyFont="1" applyFill="1" applyBorder="1" applyAlignment="1">
      <alignment horizontal="left" vertical="center" readingOrder="1"/>
    </xf>
    <xf numFmtId="0" fontId="34" fillId="8" borderId="10" xfId="0" applyFont="1" applyFill="1" applyBorder="1" applyAlignment="1" applyProtection="1">
      <alignment horizontal="left" vertical="center" readingOrder="1"/>
      <protection locked="0"/>
    </xf>
    <xf numFmtId="0" fontId="35" fillId="14" borderId="10" xfId="0" applyFont="1" applyFill="1" applyBorder="1" applyAlignment="1" applyProtection="1">
      <alignment horizontal="center" vertical="center" wrapText="1"/>
      <protection locked="0"/>
    </xf>
    <xf numFmtId="0" fontId="35" fillId="17" borderId="1" xfId="0" applyFont="1" applyFill="1" applyBorder="1" applyAlignment="1">
      <alignment horizontal="center" vertical="center" wrapText="1"/>
    </xf>
    <xf numFmtId="0" fontId="35" fillId="17" borderId="2" xfId="0" applyFont="1" applyFill="1" applyBorder="1" applyAlignment="1">
      <alignment horizontal="center" vertical="center" wrapText="1"/>
    </xf>
    <xf numFmtId="0" fontId="35" fillId="17" borderId="3" xfId="0" applyFont="1" applyFill="1" applyBorder="1" applyAlignment="1">
      <alignment horizontal="center" vertical="center" wrapText="1"/>
    </xf>
    <xf numFmtId="0" fontId="28" fillId="3" borderId="22" xfId="0" applyFont="1" applyFill="1" applyBorder="1" applyAlignment="1">
      <alignment horizontal="left" vertical="center" wrapText="1" readingOrder="1"/>
    </xf>
    <xf numFmtId="0" fontId="28" fillId="3" borderId="22" xfId="0" applyFont="1" applyFill="1" applyBorder="1" applyAlignment="1">
      <alignment horizontal="left" vertical="center" readingOrder="1"/>
    </xf>
    <xf numFmtId="10" fontId="28" fillId="11" borderId="9" xfId="0" applyNumberFormat="1" applyFont="1" applyFill="1" applyBorder="1" applyAlignment="1">
      <alignment horizontal="left" vertical="center" wrapText="1" readingOrder="1"/>
    </xf>
    <xf numFmtId="10" fontId="28" fillId="11" borderId="10" xfId="0" applyNumberFormat="1" applyFont="1" applyFill="1" applyBorder="1" applyAlignment="1">
      <alignment horizontal="left" vertical="center" wrapText="1" readingOrder="1"/>
    </xf>
    <xf numFmtId="10" fontId="28" fillId="11" borderId="11" xfId="0" applyNumberFormat="1" applyFont="1" applyFill="1" applyBorder="1" applyAlignment="1">
      <alignment horizontal="left" vertical="center" wrapText="1" readingOrder="1"/>
    </xf>
    <xf numFmtId="0" fontId="28" fillId="3" borderId="6" xfId="0" applyFont="1" applyFill="1" applyBorder="1" applyAlignment="1">
      <alignment horizontal="left" vertical="center" readingOrder="1"/>
    </xf>
    <xf numFmtId="0" fontId="28" fillId="3" borderId="7" xfId="0" applyFont="1" applyFill="1" applyBorder="1" applyAlignment="1">
      <alignment horizontal="left" vertical="center" readingOrder="1"/>
    </xf>
    <xf numFmtId="173" fontId="27" fillId="8" borderId="16" xfId="0" applyNumberFormat="1" applyFont="1" applyFill="1" applyBorder="1" applyAlignment="1">
      <alignment vertical="center" readingOrder="1"/>
    </xf>
    <xf numFmtId="173" fontId="28" fillId="11" borderId="9" xfId="0" applyNumberFormat="1" applyFont="1" applyFill="1" applyBorder="1" applyAlignment="1" applyProtection="1">
      <alignment vertical="center" readingOrder="1"/>
      <protection locked="0"/>
    </xf>
    <xf numFmtId="173" fontId="28" fillId="11" borderId="10" xfId="0" applyNumberFormat="1" applyFont="1" applyFill="1" applyBorder="1" applyAlignment="1" applyProtection="1">
      <alignment vertical="center" readingOrder="1"/>
      <protection locked="0"/>
    </xf>
    <xf numFmtId="173" fontId="28" fillId="11" borderId="11" xfId="0" applyNumberFormat="1" applyFont="1" applyFill="1" applyBorder="1" applyAlignment="1" applyProtection="1">
      <alignment vertical="center" readingOrder="1"/>
      <protection locked="0"/>
    </xf>
    <xf numFmtId="0" fontId="27" fillId="3" borderId="22" xfId="0" applyFont="1" applyFill="1" applyBorder="1" applyAlignment="1">
      <alignment horizontal="left" vertical="center" wrapText="1" readingOrder="1"/>
    </xf>
    <xf numFmtId="0" fontId="27" fillId="3" borderId="22" xfId="0" applyFont="1" applyFill="1" applyBorder="1" applyAlignment="1">
      <alignment horizontal="left" vertical="center" readingOrder="1"/>
    </xf>
    <xf numFmtId="10" fontId="27" fillId="8" borderId="22" xfId="0" applyNumberFormat="1" applyFont="1" applyFill="1" applyBorder="1" applyAlignment="1">
      <alignment horizontal="left" vertical="center" wrapText="1" readingOrder="1"/>
    </xf>
    <xf numFmtId="173" fontId="27" fillId="8" borderId="1" xfId="0" applyNumberFormat="1" applyFont="1" applyFill="1" applyBorder="1" applyAlignment="1">
      <alignment horizontal="left" vertical="center" wrapText="1" readingOrder="1"/>
    </xf>
    <xf numFmtId="173" fontId="27" fillId="8" borderId="2" xfId="0" applyNumberFormat="1" applyFont="1" applyFill="1" applyBorder="1" applyAlignment="1">
      <alignment horizontal="left" vertical="center" wrapText="1" readingOrder="1"/>
    </xf>
    <xf numFmtId="173" fontId="27" fillId="8" borderId="3" xfId="0" applyNumberFormat="1" applyFont="1" applyFill="1" applyBorder="1" applyAlignment="1">
      <alignment horizontal="left" vertical="center" wrapText="1" readingOrder="1"/>
    </xf>
    <xf numFmtId="0" fontId="28" fillId="3" borderId="1" xfId="0" applyFont="1" applyFill="1" applyBorder="1" applyAlignment="1">
      <alignment horizontal="left" vertical="center" readingOrder="1"/>
    </xf>
    <xf numFmtId="0" fontId="28" fillId="3" borderId="2" xfId="0" applyFont="1" applyFill="1" applyBorder="1" applyAlignment="1">
      <alignment horizontal="left" vertical="center" readingOrder="1"/>
    </xf>
    <xf numFmtId="0" fontId="28" fillId="3" borderId="3" xfId="0" applyFont="1" applyFill="1" applyBorder="1" applyAlignment="1">
      <alignment horizontal="left" vertical="center" readingOrder="1"/>
    </xf>
    <xf numFmtId="10" fontId="27" fillId="8" borderId="22" xfId="0" applyNumberFormat="1" applyFont="1" applyFill="1" applyBorder="1" applyAlignment="1">
      <alignment horizontal="right" vertical="center" readingOrder="1"/>
    </xf>
    <xf numFmtId="173" fontId="27" fillId="8" borderId="1" xfId="0" applyNumberFormat="1" applyFont="1" applyFill="1" applyBorder="1" applyAlignment="1">
      <alignment horizontal="right" vertical="center" readingOrder="1"/>
    </xf>
    <xf numFmtId="173" fontId="27" fillId="8" borderId="2" xfId="0" applyNumberFormat="1" applyFont="1" applyFill="1" applyBorder="1" applyAlignment="1">
      <alignment horizontal="right" vertical="center" readingOrder="1"/>
    </xf>
    <xf numFmtId="173" fontId="27" fillId="8" borderId="3" xfId="0" applyNumberFormat="1" applyFont="1" applyFill="1" applyBorder="1" applyAlignment="1">
      <alignment horizontal="right" vertical="center" readingOrder="1"/>
    </xf>
    <xf numFmtId="173" fontId="27" fillId="8" borderId="4" xfId="0" applyNumberFormat="1" applyFont="1" applyFill="1" applyBorder="1" applyAlignment="1">
      <alignment horizontal="right" vertical="center" readingOrder="1"/>
    </xf>
    <xf numFmtId="173" fontId="27" fillId="8" borderId="0" xfId="0" applyNumberFormat="1" applyFont="1" applyFill="1" applyAlignment="1">
      <alignment horizontal="right" vertical="center" readingOrder="1"/>
    </xf>
    <xf numFmtId="173" fontId="27" fillId="8" borderId="5" xfId="0" applyNumberFormat="1" applyFont="1" applyFill="1" applyBorder="1" applyAlignment="1">
      <alignment horizontal="right" vertical="center" readingOrder="1"/>
    </xf>
    <xf numFmtId="173" fontId="27" fillId="8" borderId="6" xfId="0" applyNumberFormat="1" applyFont="1" applyFill="1" applyBorder="1" applyAlignment="1">
      <alignment horizontal="right" vertical="center" readingOrder="1"/>
    </xf>
    <xf numFmtId="173" fontId="27" fillId="8" borderId="7" xfId="0" applyNumberFormat="1" applyFont="1" applyFill="1" applyBorder="1" applyAlignment="1">
      <alignment horizontal="right" vertical="center" readingOrder="1"/>
    </xf>
    <xf numFmtId="173" fontId="27" fillId="8" borderId="8" xfId="0" applyNumberFormat="1" applyFont="1" applyFill="1" applyBorder="1" applyAlignment="1">
      <alignment horizontal="right" vertical="center" readingOrder="1"/>
    </xf>
    <xf numFmtId="0" fontId="31" fillId="18" borderId="73" xfId="0" applyFont="1" applyFill="1" applyBorder="1" applyAlignment="1">
      <alignment horizontal="justify" vertical="center" wrapText="1"/>
    </xf>
    <xf numFmtId="0" fontId="31" fillId="18" borderId="74" xfId="0" applyFont="1" applyFill="1" applyBorder="1" applyAlignment="1">
      <alignment horizontal="justify" vertical="center" wrapText="1"/>
    </xf>
    <xf numFmtId="0" fontId="31" fillId="18" borderId="75" xfId="0" applyFont="1" applyFill="1" applyBorder="1" applyAlignment="1">
      <alignment horizontal="justify" vertical="center" wrapText="1"/>
    </xf>
    <xf numFmtId="0" fontId="32" fillId="18" borderId="76" xfId="0" applyFont="1" applyFill="1" applyBorder="1" applyAlignment="1">
      <alignment horizontal="justify" vertical="center" wrapText="1"/>
    </xf>
    <xf numFmtId="0" fontId="32" fillId="18" borderId="7" xfId="0" applyFont="1" applyFill="1" applyBorder="1" applyAlignment="1">
      <alignment horizontal="justify" vertical="center" wrapText="1"/>
    </xf>
    <xf numFmtId="0" fontId="32" fillId="18" borderId="8" xfId="0" applyFont="1" applyFill="1" applyBorder="1" applyAlignment="1">
      <alignment horizontal="justify" vertical="center" wrapText="1"/>
    </xf>
    <xf numFmtId="0" fontId="30" fillId="3" borderId="1" xfId="0" applyFont="1" applyFill="1" applyBorder="1" applyAlignment="1">
      <alignment horizontal="left" vertical="center" wrapText="1" readingOrder="1"/>
    </xf>
    <xf numFmtId="0" fontId="30" fillId="3" borderId="2" xfId="0" applyFont="1" applyFill="1" applyBorder="1" applyAlignment="1">
      <alignment horizontal="left" vertical="center" wrapText="1" readingOrder="1"/>
    </xf>
    <xf numFmtId="0" fontId="30" fillId="3" borderId="3" xfId="0" applyFont="1" applyFill="1" applyBorder="1" applyAlignment="1">
      <alignment horizontal="left" vertical="center" wrapText="1" readingOrder="1"/>
    </xf>
    <xf numFmtId="0" fontId="30" fillId="3" borderId="4" xfId="0" applyFont="1" applyFill="1" applyBorder="1" applyAlignment="1">
      <alignment horizontal="left" vertical="center" wrapText="1" readingOrder="1"/>
    </xf>
    <xf numFmtId="0" fontId="30" fillId="3" borderId="0" xfId="0" applyFont="1" applyFill="1" applyAlignment="1">
      <alignment horizontal="left" vertical="center" wrapText="1" readingOrder="1"/>
    </xf>
    <xf numFmtId="0" fontId="30" fillId="3" borderId="5" xfId="0" applyFont="1" applyFill="1" applyBorder="1" applyAlignment="1">
      <alignment horizontal="left" vertical="center" wrapText="1" readingOrder="1"/>
    </xf>
    <xf numFmtId="0" fontId="30" fillId="3" borderId="6" xfId="0" applyFont="1" applyFill="1" applyBorder="1" applyAlignment="1">
      <alignment horizontal="left" vertical="center" wrapText="1" readingOrder="1"/>
    </xf>
    <xf numFmtId="0" fontId="30" fillId="3" borderId="7" xfId="0" applyFont="1" applyFill="1" applyBorder="1" applyAlignment="1">
      <alignment horizontal="left" vertical="center" wrapText="1" readingOrder="1"/>
    </xf>
    <xf numFmtId="0" fontId="30" fillId="3" borderId="8" xfId="0" applyFont="1" applyFill="1" applyBorder="1" applyAlignment="1">
      <alignment horizontal="left" vertical="center" wrapText="1" readingOrder="1"/>
    </xf>
    <xf numFmtId="0" fontId="28" fillId="8" borderId="10" xfId="0" applyFont="1" applyFill="1" applyBorder="1" applyAlignment="1" applyProtection="1">
      <alignment horizontal="left" vertical="center" readingOrder="1"/>
      <protection locked="0"/>
    </xf>
    <xf numFmtId="0" fontId="8" fillId="15" borderId="22" xfId="0" applyFont="1" applyFill="1" applyBorder="1" applyAlignment="1">
      <alignment horizontal="center" vertical="center"/>
    </xf>
    <xf numFmtId="0" fontId="26" fillId="15" borderId="9" xfId="0" applyFont="1" applyFill="1" applyBorder="1" applyAlignment="1">
      <alignment horizontal="center" vertical="center"/>
    </xf>
    <xf numFmtId="0" fontId="26" fillId="15" borderId="10" xfId="0" applyFont="1" applyFill="1" applyBorder="1" applyAlignment="1">
      <alignment horizontal="center" vertical="center"/>
    </xf>
    <xf numFmtId="0" fontId="26" fillId="15" borderId="11" xfId="0" applyFont="1" applyFill="1" applyBorder="1" applyAlignment="1">
      <alignment horizontal="center" vertical="center"/>
    </xf>
    <xf numFmtId="0" fontId="28" fillId="17" borderId="67" xfId="0" applyFont="1" applyFill="1" applyBorder="1" applyAlignment="1">
      <alignment horizontal="left" vertical="center"/>
    </xf>
    <xf numFmtId="0" fontId="27" fillId="17" borderId="68" xfId="0" applyFont="1" applyFill="1" applyBorder="1" applyAlignment="1">
      <alignment horizontal="left" vertical="center"/>
    </xf>
    <xf numFmtId="0" fontId="27" fillId="17" borderId="69" xfId="0" applyFont="1" applyFill="1" applyBorder="1" applyAlignment="1">
      <alignment horizontal="left" vertical="center"/>
    </xf>
    <xf numFmtId="173" fontId="28" fillId="15" borderId="22" xfId="0" applyNumberFormat="1" applyFont="1" applyFill="1" applyBorder="1" applyAlignment="1">
      <alignment horizontal="right" vertical="center"/>
    </xf>
    <xf numFmtId="173" fontId="27" fillId="14" borderId="1" xfId="0" applyNumberFormat="1" applyFont="1" applyFill="1" applyBorder="1" applyAlignment="1">
      <alignment horizontal="right" vertical="center"/>
    </xf>
    <xf numFmtId="173" fontId="27" fillId="14" borderId="2" xfId="0" applyNumberFormat="1" applyFont="1" applyFill="1" applyBorder="1" applyAlignment="1">
      <alignment horizontal="right" vertical="center"/>
    </xf>
    <xf numFmtId="173" fontId="27" fillId="14" borderId="3" xfId="0" applyNumberFormat="1" applyFont="1" applyFill="1" applyBorder="1" applyAlignment="1">
      <alignment horizontal="right" vertical="center"/>
    </xf>
    <xf numFmtId="173" fontId="27" fillId="14" borderId="4" xfId="0" applyNumberFormat="1" applyFont="1" applyFill="1" applyBorder="1" applyAlignment="1">
      <alignment horizontal="right" vertical="center"/>
    </xf>
    <xf numFmtId="173" fontId="27" fillId="14" borderId="0" xfId="0" applyNumberFormat="1" applyFont="1" applyFill="1" applyAlignment="1">
      <alignment horizontal="right" vertical="center"/>
    </xf>
    <xf numFmtId="173" fontId="27" fillId="14" borderId="5" xfId="0" applyNumberFormat="1" applyFont="1" applyFill="1" applyBorder="1" applyAlignment="1">
      <alignment horizontal="right" vertical="center"/>
    </xf>
    <xf numFmtId="173" fontId="27" fillId="14" borderId="6" xfId="0" applyNumberFormat="1" applyFont="1" applyFill="1" applyBorder="1" applyAlignment="1">
      <alignment horizontal="right" vertical="center"/>
    </xf>
    <xf numFmtId="173" fontId="27" fillId="14" borderId="7" xfId="0" applyNumberFormat="1" applyFont="1" applyFill="1" applyBorder="1" applyAlignment="1">
      <alignment horizontal="right" vertical="center"/>
    </xf>
    <xf numFmtId="173" fontId="27" fillId="14" borderId="8" xfId="0" applyNumberFormat="1" applyFont="1" applyFill="1" applyBorder="1" applyAlignment="1">
      <alignment horizontal="right" vertical="center"/>
    </xf>
    <xf numFmtId="0" fontId="30" fillId="17" borderId="70" xfId="0" applyFont="1" applyFill="1" applyBorder="1" applyAlignment="1">
      <alignment horizontal="justify" vertical="center" wrapText="1"/>
    </xf>
    <xf numFmtId="0" fontId="30" fillId="17" borderId="71" xfId="0" applyFont="1" applyFill="1" applyBorder="1" applyAlignment="1">
      <alignment horizontal="justify" vertical="center" wrapText="1"/>
    </xf>
    <xf numFmtId="0" fontId="30" fillId="17" borderId="72" xfId="0" applyFont="1" applyFill="1" applyBorder="1" applyAlignment="1">
      <alignment horizontal="justify" vertical="center" wrapText="1"/>
    </xf>
    <xf numFmtId="0" fontId="30" fillId="17" borderId="6" xfId="0" applyFont="1" applyFill="1" applyBorder="1" applyAlignment="1">
      <alignment horizontal="justify" vertical="center" wrapText="1"/>
    </xf>
    <xf numFmtId="0" fontId="30" fillId="17" borderId="7" xfId="0" applyFont="1" applyFill="1" applyBorder="1" applyAlignment="1">
      <alignment horizontal="justify" vertical="center" wrapText="1"/>
    </xf>
    <xf numFmtId="0" fontId="30" fillId="17" borderId="8" xfId="0" applyFont="1" applyFill="1" applyBorder="1" applyAlignment="1">
      <alignment horizontal="justify" vertical="center" wrapText="1"/>
    </xf>
    <xf numFmtId="0" fontId="27" fillId="3" borderId="63" xfId="0" applyFont="1" applyFill="1" applyBorder="1" applyAlignment="1">
      <alignment horizontal="left" vertical="center" readingOrder="1"/>
    </xf>
    <xf numFmtId="0" fontId="27" fillId="3" borderId="64" xfId="0" applyFont="1" applyFill="1" applyBorder="1" applyAlignment="1">
      <alignment horizontal="left" vertical="center" readingOrder="1"/>
    </xf>
    <xf numFmtId="0" fontId="27" fillId="3" borderId="65" xfId="0" applyFont="1" applyFill="1" applyBorder="1" applyAlignment="1">
      <alignment horizontal="left" vertical="center" readingOrder="1"/>
    </xf>
    <xf numFmtId="10" fontId="27" fillId="8" borderId="66" xfId="2" applyNumberFormat="1" applyFont="1" applyFill="1" applyBorder="1" applyAlignment="1" applyProtection="1">
      <alignment horizontal="right" vertical="center" readingOrder="1"/>
    </xf>
    <xf numFmtId="173" fontId="27" fillId="8" borderId="66" xfId="0" applyNumberFormat="1" applyFont="1" applyFill="1" applyBorder="1" applyAlignment="1">
      <alignment horizontal="right" vertical="center" readingOrder="1"/>
    </xf>
    <xf numFmtId="0" fontId="27" fillId="3" borderId="9" xfId="0" applyFont="1" applyFill="1" applyBorder="1" applyAlignment="1">
      <alignment horizontal="left" vertical="center" readingOrder="1"/>
    </xf>
    <xf numFmtId="0" fontId="27" fillId="3" borderId="10" xfId="0" applyFont="1" applyFill="1" applyBorder="1" applyAlignment="1">
      <alignment horizontal="left" vertical="center" readingOrder="1"/>
    </xf>
    <xf numFmtId="0" fontId="27" fillId="3" borderId="48" xfId="0" applyFont="1" applyFill="1" applyBorder="1" applyAlignment="1">
      <alignment horizontal="left" vertical="center" readingOrder="1"/>
    </xf>
    <xf numFmtId="10" fontId="27" fillId="8" borderId="49" xfId="2" applyNumberFormat="1" applyFont="1" applyFill="1" applyBorder="1" applyAlignment="1" applyProtection="1">
      <alignment horizontal="right" vertical="center" readingOrder="1"/>
    </xf>
    <xf numFmtId="173" fontId="27" fillId="8" borderId="49" xfId="0" applyNumberFormat="1" applyFont="1" applyFill="1" applyBorder="1" applyAlignment="1">
      <alignment horizontal="right" vertical="center" readingOrder="1"/>
    </xf>
    <xf numFmtId="174" fontId="27" fillId="8" borderId="49" xfId="2" applyNumberFormat="1" applyFont="1" applyFill="1" applyBorder="1" applyAlignment="1" applyProtection="1">
      <alignment horizontal="right" vertical="center" readingOrder="1"/>
    </xf>
    <xf numFmtId="0" fontId="27" fillId="3" borderId="59" xfId="0" applyFont="1" applyFill="1" applyBorder="1" applyAlignment="1">
      <alignment horizontal="left" vertical="center" readingOrder="1"/>
    </xf>
    <xf numFmtId="0" fontId="27" fillId="3" borderId="60" xfId="0" applyFont="1" applyFill="1" applyBorder="1" applyAlignment="1">
      <alignment horizontal="left" vertical="center" readingOrder="1"/>
    </xf>
    <xf numFmtId="0" fontId="27" fillId="3" borderId="61" xfId="0" applyFont="1" applyFill="1" applyBorder="1" applyAlignment="1">
      <alignment horizontal="left" vertical="center" readingOrder="1"/>
    </xf>
    <xf numFmtId="174" fontId="27" fillId="8" borderId="62" xfId="2" applyNumberFormat="1" applyFont="1" applyFill="1" applyBorder="1" applyAlignment="1" applyProtection="1">
      <alignment horizontal="right" vertical="center" readingOrder="1"/>
    </xf>
    <xf numFmtId="173" fontId="27" fillId="8" borderId="62" xfId="0" applyNumberFormat="1" applyFont="1" applyFill="1" applyBorder="1" applyAlignment="1">
      <alignment horizontal="right" vertical="center" readingOrder="1"/>
    </xf>
    <xf numFmtId="0" fontId="27" fillId="3" borderId="1" xfId="0" applyFont="1" applyFill="1" applyBorder="1" applyAlignment="1">
      <alignment vertical="center" readingOrder="1"/>
    </xf>
    <xf numFmtId="0" fontId="27" fillId="3" borderId="2" xfId="0" applyFont="1" applyFill="1" applyBorder="1" applyAlignment="1">
      <alignment vertical="center" readingOrder="1"/>
    </xf>
    <xf numFmtId="0" fontId="27" fillId="3" borderId="46" xfId="0" applyFont="1" applyFill="1" applyBorder="1" applyAlignment="1">
      <alignment vertical="center" readingOrder="1"/>
    </xf>
    <xf numFmtId="0" fontId="27" fillId="3" borderId="51" xfId="0" applyFont="1" applyFill="1" applyBorder="1" applyAlignment="1">
      <alignment vertical="center" readingOrder="1"/>
    </xf>
    <xf numFmtId="0" fontId="27" fillId="3" borderId="52" xfId="0" applyFont="1" applyFill="1" applyBorder="1" applyAlignment="1">
      <alignment vertical="center" readingOrder="1"/>
    </xf>
    <xf numFmtId="0" fontId="27" fillId="3" borderId="53" xfId="0" applyFont="1" applyFill="1" applyBorder="1" applyAlignment="1">
      <alignment vertical="center" readingOrder="1"/>
    </xf>
    <xf numFmtId="0" fontId="27" fillId="3" borderId="47" xfId="0" applyFont="1" applyFill="1" applyBorder="1" applyAlignment="1">
      <alignment horizontal="center" vertical="center" readingOrder="1"/>
    </xf>
    <xf numFmtId="0" fontId="27" fillId="3" borderId="10" xfId="0" applyFont="1" applyFill="1" applyBorder="1" applyAlignment="1">
      <alignment horizontal="center" vertical="center" readingOrder="1"/>
    </xf>
    <xf numFmtId="0" fontId="27" fillId="3" borderId="48" xfId="0" applyFont="1" applyFill="1" applyBorder="1" applyAlignment="1">
      <alignment horizontal="center" vertical="center" readingOrder="1"/>
    </xf>
    <xf numFmtId="173" fontId="27" fillId="8" borderId="47" xfId="0" applyNumberFormat="1" applyFont="1" applyFill="1" applyBorder="1" applyAlignment="1">
      <alignment horizontal="right" vertical="center" readingOrder="1"/>
    </xf>
    <xf numFmtId="173" fontId="27" fillId="8" borderId="10" xfId="0" applyNumberFormat="1" applyFont="1" applyFill="1" applyBorder="1" applyAlignment="1">
      <alignment horizontal="right" vertical="center" readingOrder="1"/>
    </xf>
    <xf numFmtId="173" fontId="27" fillId="8" borderId="48" xfId="0" applyNumberFormat="1" applyFont="1" applyFill="1" applyBorder="1" applyAlignment="1">
      <alignment horizontal="right" vertical="center" readingOrder="1"/>
    </xf>
    <xf numFmtId="0" fontId="27" fillId="3" borderId="54" xfId="0" applyFont="1" applyFill="1" applyBorder="1" applyAlignment="1">
      <alignment horizontal="center" vertical="center" readingOrder="1"/>
    </xf>
    <xf numFmtId="0" fontId="27" fillId="3" borderId="55" xfId="0" applyFont="1" applyFill="1" applyBorder="1" applyAlignment="1">
      <alignment horizontal="center" vertical="center" readingOrder="1"/>
    </xf>
    <xf numFmtId="0" fontId="27" fillId="3" borderId="56" xfId="0" applyFont="1" applyFill="1" applyBorder="1" applyAlignment="1">
      <alignment horizontal="center" vertical="center" readingOrder="1"/>
    </xf>
    <xf numFmtId="173" fontId="27" fillId="8" borderId="54" xfId="0" applyNumberFormat="1" applyFont="1" applyFill="1" applyBorder="1" applyAlignment="1">
      <alignment horizontal="right" vertical="center" readingOrder="1"/>
    </xf>
    <xf numFmtId="173" fontId="27" fillId="8" borderId="55" xfId="0" applyNumberFormat="1" applyFont="1" applyFill="1" applyBorder="1" applyAlignment="1">
      <alignment horizontal="right" vertical="center" readingOrder="1"/>
    </xf>
    <xf numFmtId="173" fontId="27" fillId="8" borderId="56" xfId="0" applyNumberFormat="1" applyFont="1" applyFill="1" applyBorder="1" applyAlignment="1">
      <alignment horizontal="right" vertical="center" readingOrder="1"/>
    </xf>
    <xf numFmtId="0" fontId="27" fillId="3" borderId="1" xfId="0" applyFont="1" applyFill="1" applyBorder="1" applyAlignment="1">
      <alignment vertical="center" wrapText="1" readingOrder="1"/>
    </xf>
    <xf numFmtId="0" fontId="27" fillId="3" borderId="2" xfId="0" applyFont="1" applyFill="1" applyBorder="1" applyAlignment="1">
      <alignment vertical="center" wrapText="1" readingOrder="1"/>
    </xf>
    <xf numFmtId="0" fontId="27" fillId="3" borderId="46" xfId="0" applyFont="1" applyFill="1" applyBorder="1" applyAlignment="1">
      <alignment vertical="center" wrapText="1" readingOrder="1"/>
    </xf>
    <xf numFmtId="0" fontId="27" fillId="3" borderId="51" xfId="0" applyFont="1" applyFill="1" applyBorder="1" applyAlignment="1">
      <alignment vertical="center" wrapText="1" readingOrder="1"/>
    </xf>
    <xf numFmtId="0" fontId="27" fillId="3" borderId="52" xfId="0" applyFont="1" applyFill="1" applyBorder="1" applyAlignment="1">
      <alignment vertical="center" wrapText="1" readingOrder="1"/>
    </xf>
    <xf numFmtId="0" fontId="27" fillId="3" borderId="53" xfId="0" applyFont="1" applyFill="1" applyBorder="1" applyAlignment="1">
      <alignment vertical="center" wrapText="1" readingOrder="1"/>
    </xf>
    <xf numFmtId="2" fontId="28" fillId="16" borderId="49" xfId="0" applyNumberFormat="1" applyFont="1" applyFill="1" applyBorder="1" applyAlignment="1" applyProtection="1">
      <alignment horizontal="center" vertical="center" readingOrder="1"/>
      <protection locked="0"/>
    </xf>
    <xf numFmtId="2" fontId="28" fillId="16" borderId="50" xfId="0" applyNumberFormat="1" applyFont="1" applyFill="1" applyBorder="1" applyAlignment="1" applyProtection="1">
      <alignment horizontal="center" vertical="center" readingOrder="1"/>
      <protection locked="0"/>
    </xf>
    <xf numFmtId="173" fontId="27" fillId="8" borderId="9" xfId="0" applyNumberFormat="1" applyFont="1" applyFill="1" applyBorder="1" applyAlignment="1">
      <alignment horizontal="right" vertical="center" readingOrder="1"/>
    </xf>
    <xf numFmtId="173" fontId="27" fillId="8" borderId="58" xfId="0" applyNumberFormat="1" applyFont="1" applyFill="1" applyBorder="1" applyAlignment="1">
      <alignment horizontal="right" vertical="center" readingOrder="1"/>
    </xf>
    <xf numFmtId="173" fontId="27" fillId="8" borderId="57" xfId="0" applyNumberFormat="1" applyFont="1" applyFill="1" applyBorder="1" applyAlignment="1">
      <alignment horizontal="right" vertical="center" readingOrder="1"/>
    </xf>
    <xf numFmtId="0" fontId="29" fillId="3" borderId="2" xfId="0" applyFont="1" applyFill="1" applyBorder="1" applyAlignment="1">
      <alignment vertical="center" wrapText="1" readingOrder="1"/>
    </xf>
    <xf numFmtId="0" fontId="29" fillId="3" borderId="46" xfId="0" applyFont="1" applyFill="1" applyBorder="1" applyAlignment="1">
      <alignment vertical="center" wrapText="1" readingOrder="1"/>
    </xf>
    <xf numFmtId="0" fontId="29" fillId="3" borderId="51" xfId="0" applyFont="1" applyFill="1" applyBorder="1" applyAlignment="1">
      <alignment vertical="center" wrapText="1" readingOrder="1"/>
    </xf>
    <xf numFmtId="0" fontId="29" fillId="3" borderId="52" xfId="0" applyFont="1" applyFill="1" applyBorder="1" applyAlignment="1">
      <alignment vertical="center" wrapText="1" readingOrder="1"/>
    </xf>
    <xf numFmtId="0" fontId="29" fillId="3" borderId="53" xfId="0" applyFont="1" applyFill="1" applyBorder="1" applyAlignment="1">
      <alignment vertical="center" wrapText="1" readingOrder="1"/>
    </xf>
    <xf numFmtId="2" fontId="28" fillId="16" borderId="49" xfId="0" applyNumberFormat="1" applyFont="1" applyFill="1" applyBorder="1" applyAlignment="1">
      <alignment horizontal="center" vertical="center" readingOrder="1"/>
    </xf>
    <xf numFmtId="2" fontId="28" fillId="16" borderId="50" xfId="0" applyNumberFormat="1" applyFont="1" applyFill="1" applyBorder="1" applyAlignment="1">
      <alignment horizontal="center" vertical="center" readingOrder="1"/>
    </xf>
    <xf numFmtId="0" fontId="23" fillId="14" borderId="7" xfId="0" applyFont="1" applyFill="1" applyBorder="1" applyAlignment="1" applyProtection="1">
      <alignment horizontal="center" vertical="center"/>
      <protection locked="0"/>
    </xf>
    <xf numFmtId="0" fontId="22" fillId="0" borderId="0" xfId="0" applyFont="1" applyProtection="1">
      <protection locked="0"/>
    </xf>
    <xf numFmtId="0" fontId="24" fillId="2" borderId="0" xfId="0" applyFont="1" applyFill="1" applyAlignment="1">
      <alignment horizontal="center" vertical="center"/>
    </xf>
    <xf numFmtId="0" fontId="25" fillId="0" borderId="0" xfId="0" applyFont="1" applyProtection="1">
      <protection locked="0"/>
    </xf>
    <xf numFmtId="0" fontId="8" fillId="15" borderId="9" xfId="0" applyFont="1" applyFill="1" applyBorder="1" applyAlignment="1">
      <alignment horizontal="center" vertical="center"/>
    </xf>
    <xf numFmtId="0" fontId="8" fillId="15" borderId="10" xfId="0" applyFont="1" applyFill="1" applyBorder="1" applyAlignment="1">
      <alignment horizontal="center" vertical="center"/>
    </xf>
    <xf numFmtId="0" fontId="8" fillId="15" borderId="11" xfId="0" applyFont="1" applyFill="1" applyBorder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46" fillId="7" borderId="0" xfId="4" applyFont="1" applyFill="1" applyAlignment="1">
      <alignment horizontal="center" vertical="center"/>
    </xf>
    <xf numFmtId="0" fontId="45" fillId="2" borderId="93" xfId="0" applyFont="1" applyFill="1" applyBorder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0" fontId="49" fillId="7" borderId="0" xfId="5" applyFont="1" applyFill="1" applyAlignment="1">
      <alignment horizontal="center" vertical="center"/>
    </xf>
    <xf numFmtId="0" fontId="49" fillId="7" borderId="0" xfId="5" applyFont="1" applyFill="1" applyAlignment="1">
      <alignment horizontal="right" vertical="center"/>
    </xf>
  </cellXfs>
  <cellStyles count="7">
    <cellStyle name="Hiperlink" xfId="3" builtinId="8"/>
    <cellStyle name="Moeda" xfId="1" builtinId="4"/>
    <cellStyle name="Normal" xfId="0" builtinId="0"/>
    <cellStyle name="Normal 2 2 2" xfId="6" xr:uid="{42A28E54-509E-4BD9-843B-BADBF4727161}"/>
    <cellStyle name="Normal 2 3" xfId="5" xr:uid="{CC2E5CC3-1AB1-4C67-9C45-5D005E0A1A7A}"/>
    <cellStyle name="Normal 4 2 2" xfId="4" xr:uid="{9D279C49-61A3-43CB-A534-29121F7A79FF}"/>
    <cellStyle name="Porcentagem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292672</xdr:colOff>
      <xdr:row>1</xdr:row>
      <xdr:rowOff>104773</xdr:rowOff>
    </xdr:from>
    <xdr:to>
      <xdr:col>7</xdr:col>
      <xdr:colOff>310147</xdr:colOff>
      <xdr:row>1</xdr:row>
      <xdr:rowOff>320773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3230C33-2269-4598-8042-A7FEC88B341F}"/>
            </a:ext>
          </a:extLst>
        </xdr:cNvPr>
        <xdr:cNvSpPr txBox="1"/>
      </xdr:nvSpPr>
      <xdr:spPr>
        <a:xfrm>
          <a:off x="2559622" y="171448"/>
          <a:ext cx="345600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 A B E L A   D E   F R E T E S</a:t>
          </a:r>
        </a:p>
      </xdr:txBody>
    </xdr:sp>
    <xdr:clientData/>
  </xdr:twoCellAnchor>
  <xdr:twoCellAnchor>
    <xdr:from>
      <xdr:col>38</xdr:col>
      <xdr:colOff>352425</xdr:colOff>
      <xdr:row>6</xdr:row>
      <xdr:rowOff>38650</xdr:rowOff>
    </xdr:from>
    <xdr:to>
      <xdr:col>42</xdr:col>
      <xdr:colOff>122325</xdr:colOff>
      <xdr:row>9</xdr:row>
      <xdr:rowOff>56875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4B5F0A2-C6CE-4255-BDE0-2BE68A8C706D}"/>
            </a:ext>
          </a:extLst>
        </xdr:cNvPr>
        <xdr:cNvSpPr txBox="1"/>
      </xdr:nvSpPr>
      <xdr:spPr>
        <a:xfrm>
          <a:off x="12963525" y="1076875"/>
          <a:ext cx="0" cy="504000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REGIÃO NORDESTE</a:t>
          </a:r>
        </a:p>
      </xdr:txBody>
    </xdr:sp>
    <xdr:clientData/>
  </xdr:twoCellAnchor>
  <xdr:twoCellAnchor>
    <xdr:from>
      <xdr:col>38</xdr:col>
      <xdr:colOff>352425</xdr:colOff>
      <xdr:row>10</xdr:row>
      <xdr:rowOff>9800</xdr:rowOff>
    </xdr:from>
    <xdr:to>
      <xdr:col>42</xdr:col>
      <xdr:colOff>122325</xdr:colOff>
      <xdr:row>13</xdr:row>
      <xdr:rowOff>28025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2D7378F2-2C39-45F3-9506-767C48C7FBF7}"/>
            </a:ext>
          </a:extLst>
        </xdr:cNvPr>
        <xdr:cNvSpPr txBox="1"/>
      </xdr:nvSpPr>
      <xdr:spPr>
        <a:xfrm>
          <a:off x="12963525" y="1695725"/>
          <a:ext cx="0" cy="504000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REGIÃO SUDESTE</a:t>
          </a:r>
        </a:p>
      </xdr:txBody>
    </xdr:sp>
    <xdr:clientData/>
  </xdr:twoCellAnchor>
  <xdr:twoCellAnchor>
    <xdr:from>
      <xdr:col>38</xdr:col>
      <xdr:colOff>352425</xdr:colOff>
      <xdr:row>13</xdr:row>
      <xdr:rowOff>142875</xdr:rowOff>
    </xdr:from>
    <xdr:to>
      <xdr:col>42</xdr:col>
      <xdr:colOff>122325</xdr:colOff>
      <xdr:row>17</xdr:row>
      <xdr:rowOff>113475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DF702AF0-ECB4-4B39-8A32-209C29CFD722}"/>
            </a:ext>
          </a:extLst>
        </xdr:cNvPr>
        <xdr:cNvSpPr txBox="1"/>
      </xdr:nvSpPr>
      <xdr:spPr>
        <a:xfrm>
          <a:off x="12963525" y="2314575"/>
          <a:ext cx="0" cy="504000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REGIÃO SUL</a:t>
          </a:r>
        </a:p>
      </xdr:txBody>
    </xdr:sp>
    <xdr:clientData/>
  </xdr:twoCellAnchor>
  <xdr:twoCellAnchor editAs="absolute">
    <xdr:from>
      <xdr:col>1</xdr:col>
      <xdr:colOff>38100</xdr:colOff>
      <xdr:row>3</xdr:row>
      <xdr:rowOff>114297</xdr:rowOff>
    </xdr:from>
    <xdr:to>
      <xdr:col>33</xdr:col>
      <xdr:colOff>1057275</xdr:colOff>
      <xdr:row>15</xdr:row>
      <xdr:rowOff>85725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1FB43596-1EB9-4CF4-BACC-9DF5BE9F7D1B}"/>
            </a:ext>
          </a:extLst>
        </xdr:cNvPr>
        <xdr:cNvGrpSpPr/>
      </xdr:nvGrpSpPr>
      <xdr:grpSpPr>
        <a:xfrm>
          <a:off x="152400" y="666747"/>
          <a:ext cx="9991725" cy="1914528"/>
          <a:chOff x="199158" y="672669"/>
          <a:chExt cx="8306671" cy="1910339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CE56413A-6ACC-9E5C-D948-4717C43960AD}"/>
              </a:ext>
            </a:extLst>
          </xdr:cNvPr>
          <xdr:cNvGrpSpPr>
            <a:grpSpLocks/>
          </xdr:cNvGrpSpPr>
        </xdr:nvGrpSpPr>
        <xdr:grpSpPr>
          <a:xfrm>
            <a:off x="199158" y="672669"/>
            <a:ext cx="8306671" cy="1910339"/>
            <a:chOff x="47625" y="420688"/>
            <a:chExt cx="6373813" cy="1476375"/>
          </a:xfrm>
        </xdr:grpSpPr>
        <xdr:sp macro="" textlink="'[1]Custon Tabela'!C3">
          <xdr:nvSpPr>
            <xdr:cNvPr id="9" name="CaixaDeTexto 8">
              <a:extLst>
                <a:ext uri="{FF2B5EF4-FFF2-40B4-BE49-F238E27FC236}">
                  <a16:creationId xmlns:a16="http://schemas.microsoft.com/office/drawing/2014/main" id="{EB9B0422-A6FA-8630-1DCA-90C394A99403}"/>
                </a:ext>
              </a:extLst>
            </xdr:cNvPr>
            <xdr:cNvSpPr txBox="1"/>
          </xdr:nvSpPr>
          <xdr:spPr>
            <a:xfrm>
              <a:off x="5662992" y="1079500"/>
              <a:ext cx="336989" cy="158750"/>
            </a:xfrm>
            <a:prstGeom prst="rect">
              <a:avLst/>
            </a:prstGeom>
            <a:noFill/>
            <a:ln w="1905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fld id="{A8C1D0C8-F457-4549-BFE5-C2686DA84CCE}" type="TxLink">
                <a:rPr lang="en-US" sz="10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/>
                <a:t> </a:t>
              </a:fld>
              <a:endParaRPr lang="pt-BR" sz="900"/>
            </a:p>
          </xdr:txBody>
        </xdr:sp>
        <xdr:grpSp>
          <xdr:nvGrpSpPr>
            <xdr:cNvPr id="10" name="Agrupar 9">
              <a:extLst>
                <a:ext uri="{FF2B5EF4-FFF2-40B4-BE49-F238E27FC236}">
                  <a16:creationId xmlns:a16="http://schemas.microsoft.com/office/drawing/2014/main" id="{E83F8334-2CEE-F6C3-4F94-D57A9725D7B3}"/>
                </a:ext>
              </a:extLst>
            </xdr:cNvPr>
            <xdr:cNvGrpSpPr/>
          </xdr:nvGrpSpPr>
          <xdr:grpSpPr>
            <a:xfrm>
              <a:off x="47625" y="420688"/>
              <a:ext cx="6373813" cy="1476375"/>
              <a:chOff x="47625" y="420688"/>
              <a:chExt cx="6373813" cy="1476375"/>
            </a:xfrm>
          </xdr:grpSpPr>
          <xdr:sp macro="" textlink="">
            <xdr:nvSpPr>
              <xdr:cNvPr id="12" name="Retângulo 11">
                <a:extLst>
                  <a:ext uri="{FF2B5EF4-FFF2-40B4-BE49-F238E27FC236}">
                    <a16:creationId xmlns:a16="http://schemas.microsoft.com/office/drawing/2014/main" id="{9C1B8F5D-DF4F-DEB0-C19B-CF2A32490C8A}"/>
                  </a:ext>
                </a:extLst>
              </xdr:cNvPr>
              <xdr:cNvSpPr/>
            </xdr:nvSpPr>
            <xdr:spPr bwMode="auto">
              <a:xfrm>
                <a:off x="47625" y="420688"/>
                <a:ext cx="6373813" cy="1476375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  <a:ln w="19050" cap="flat" cmpd="sng" algn="ctr">
                <a:noFill/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l"/>
                <a:endParaRPr lang="pt-BR" sz="1100"/>
              </a:p>
            </xdr:txBody>
          </xdr:sp>
          <xdr:sp macro="" textlink="'[1]Home Inicial'!C9">
            <xdr:nvSpPr>
              <xdr:cNvPr id="13" name="CaixaDeTexto 12">
                <a:extLst>
                  <a:ext uri="{FF2B5EF4-FFF2-40B4-BE49-F238E27FC236}">
                    <a16:creationId xmlns:a16="http://schemas.microsoft.com/office/drawing/2014/main" id="{03B4B867-9A16-C530-B20C-15BE449ED9B7}"/>
                  </a:ext>
                </a:extLst>
              </xdr:cNvPr>
              <xdr:cNvSpPr txBox="1"/>
            </xdr:nvSpPr>
            <xdr:spPr>
              <a:xfrm>
                <a:off x="1004871" y="476250"/>
                <a:ext cx="5374967" cy="158750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5B5250CF-D571-416B-9718-B89DEC8A64D8}" type="TxLink">
                  <a:rPr lang="en-US" sz="1100" b="1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Modial Comercial Modial Comercio De Artigos Funerarios Ltda</a:t>
                </a:fld>
                <a:endParaRPr lang="pt-BR" sz="1100" b="1"/>
              </a:p>
            </xdr:txBody>
          </xdr:sp>
          <xdr:sp macro="" textlink="'[1]Home Inicial'!C11">
            <xdr:nvSpPr>
              <xdr:cNvPr id="14" name="CaixaDeTexto 13">
                <a:extLst>
                  <a:ext uri="{FF2B5EF4-FFF2-40B4-BE49-F238E27FC236}">
                    <a16:creationId xmlns:a16="http://schemas.microsoft.com/office/drawing/2014/main" id="{43982BB8-914D-3D90-29C2-6A059CF68320}"/>
                  </a:ext>
                </a:extLst>
              </xdr:cNvPr>
              <xdr:cNvSpPr txBox="1"/>
            </xdr:nvSpPr>
            <xdr:spPr>
              <a:xfrm>
                <a:off x="1011348" y="672860"/>
                <a:ext cx="1130201" cy="137122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9EE106F4-F507-4ECA-8EDE-190F3257BAD6}" type="TxLink">
                  <a:rPr lang="en-US" sz="1100" b="1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04.917.818/0001-24</a:t>
                </a:fld>
                <a:endParaRPr lang="pt-BR" sz="1100" b="1"/>
              </a:p>
            </xdr:txBody>
          </xdr:sp>
          <xdr:sp macro="" textlink="'[1]Home Inicial'!C19">
            <xdr:nvSpPr>
              <xdr:cNvPr id="15" name="CaixaDeTexto 14">
                <a:extLst>
                  <a:ext uri="{FF2B5EF4-FFF2-40B4-BE49-F238E27FC236}">
                    <a16:creationId xmlns:a16="http://schemas.microsoft.com/office/drawing/2014/main" id="{139981AB-3CAF-048A-9655-25D21B6DCB16}"/>
                  </a:ext>
                </a:extLst>
              </xdr:cNvPr>
              <xdr:cNvSpPr txBox="1"/>
            </xdr:nvSpPr>
            <xdr:spPr>
              <a:xfrm>
                <a:off x="1004871" y="883708"/>
                <a:ext cx="3240000" cy="158750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29E75018-8067-40BF-A455-3C2051FB1241}" type="TxLink">
                  <a:rPr lang="en-US" sz="1100" b="1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 </a:t>
                </a:fld>
                <a:endParaRPr lang="pt-BR" sz="1100" b="1"/>
              </a:p>
            </xdr:txBody>
          </xdr:sp>
          <xdr:sp macro="" textlink="'[1]Home Inicial'!C13">
            <xdr:nvSpPr>
              <xdr:cNvPr id="16" name="CaixaDeTexto 15">
                <a:extLst>
                  <a:ext uri="{FF2B5EF4-FFF2-40B4-BE49-F238E27FC236}">
                    <a16:creationId xmlns:a16="http://schemas.microsoft.com/office/drawing/2014/main" id="{8F14957B-9B30-42BC-93FE-EC479BDC4DE5}"/>
                  </a:ext>
                </a:extLst>
              </xdr:cNvPr>
              <xdr:cNvSpPr txBox="1"/>
            </xdr:nvSpPr>
            <xdr:spPr>
              <a:xfrm>
                <a:off x="3177006" y="682625"/>
                <a:ext cx="1188903" cy="164083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E287783C-691A-4119-880E-11C1197CA267}" type="TxLink">
                  <a:rPr lang="en-US" sz="1100" b="1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 </a:t>
                </a:fld>
                <a:endParaRPr lang="pt-BR" sz="1100" b="1"/>
              </a:p>
            </xdr:txBody>
          </xdr:sp>
          <xdr:sp macro="" textlink="'[1]Home Inicial'!C15">
            <xdr:nvSpPr>
              <xdr:cNvPr id="17" name="CaixaDeTexto 16">
                <a:extLst>
                  <a:ext uri="{FF2B5EF4-FFF2-40B4-BE49-F238E27FC236}">
                    <a16:creationId xmlns:a16="http://schemas.microsoft.com/office/drawing/2014/main" id="{1BA6B9F0-6866-D987-F2B5-F016A22CF17C}"/>
                  </a:ext>
                </a:extLst>
              </xdr:cNvPr>
              <xdr:cNvSpPr txBox="1"/>
            </xdr:nvSpPr>
            <xdr:spPr>
              <a:xfrm>
                <a:off x="5493362" y="682626"/>
                <a:ext cx="891514" cy="156738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241B97D2-A53D-4E12-AB3E-824D872EE97E}" type="TxLink">
                  <a:rPr lang="en-US" sz="1100" b="1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 </a:t>
                </a:fld>
                <a:endParaRPr lang="pt-BR" sz="1100" b="1"/>
              </a:p>
            </xdr:txBody>
          </xdr:sp>
          <xdr:sp macro="" textlink="'[1]Home Inicial'!C23">
            <xdr:nvSpPr>
              <xdr:cNvPr id="18" name="CaixaDeTexto 17">
                <a:extLst>
                  <a:ext uri="{FF2B5EF4-FFF2-40B4-BE49-F238E27FC236}">
                    <a16:creationId xmlns:a16="http://schemas.microsoft.com/office/drawing/2014/main" id="{60405CD1-6DEB-19C2-6EF3-397F75820A72}"/>
                  </a:ext>
                </a:extLst>
              </xdr:cNvPr>
              <xdr:cNvSpPr txBox="1"/>
            </xdr:nvSpPr>
            <xdr:spPr>
              <a:xfrm>
                <a:off x="1004871" y="1087437"/>
                <a:ext cx="2016000" cy="158750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089B7E0D-147E-4FD9-BFE3-2C752FA42E79}" type="TxLink">
                  <a:rPr lang="en-US" sz="1100" b="1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 </a:t>
                </a:fld>
                <a:endParaRPr lang="pt-BR" sz="1100" b="1"/>
              </a:p>
            </xdr:txBody>
          </xdr:sp>
          <xdr:sp macro="" textlink="'[1]Home Inicial'!C27">
            <xdr:nvSpPr>
              <xdr:cNvPr id="19" name="CaixaDeTexto 18">
                <a:extLst>
                  <a:ext uri="{FF2B5EF4-FFF2-40B4-BE49-F238E27FC236}">
                    <a16:creationId xmlns:a16="http://schemas.microsoft.com/office/drawing/2014/main" id="{23CC494E-509C-85E1-3706-827E93A22EA3}"/>
                  </a:ext>
                </a:extLst>
              </xdr:cNvPr>
              <xdr:cNvSpPr txBox="1"/>
            </xdr:nvSpPr>
            <xdr:spPr>
              <a:xfrm>
                <a:off x="3712068" y="1079500"/>
                <a:ext cx="1937684" cy="158750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0C4CC8E1-30A6-4A7C-B0F5-BBD7360B5181}" type="TxLink">
                  <a:rPr lang="en-US" sz="1100" b="1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 </a:t>
                </a:fld>
                <a:endParaRPr lang="pt-BR" sz="1100" b="1"/>
              </a:p>
            </xdr:txBody>
          </xdr:sp>
          <xdr:sp macro="" textlink="'[1]Home Inicial'!C29">
            <xdr:nvSpPr>
              <xdr:cNvPr id="20" name="CaixaDeTexto 19">
                <a:extLst>
                  <a:ext uri="{FF2B5EF4-FFF2-40B4-BE49-F238E27FC236}">
                    <a16:creationId xmlns:a16="http://schemas.microsoft.com/office/drawing/2014/main" id="{245BEF1D-D1E9-B483-948B-8A195CD6640A}"/>
                  </a:ext>
                </a:extLst>
              </xdr:cNvPr>
              <xdr:cNvSpPr txBox="1"/>
            </xdr:nvSpPr>
            <xdr:spPr>
              <a:xfrm>
                <a:off x="6019804" y="1079500"/>
                <a:ext cx="365071" cy="158750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EDF520A7-7182-416A-938A-1AC21BD46720}" type="TxLink">
                  <a:rPr lang="en-US" sz="1100" b="1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 </a:t>
                </a:fld>
                <a:endParaRPr lang="pt-BR" sz="1100" b="1"/>
              </a:p>
            </xdr:txBody>
          </xdr:sp>
          <xdr:sp macro="" textlink="'[1]Home Inicial'!B33">
            <xdr:nvSpPr>
              <xdr:cNvPr id="21" name="CaixaDeTexto 20">
                <a:extLst>
                  <a:ext uri="{FF2B5EF4-FFF2-40B4-BE49-F238E27FC236}">
                    <a16:creationId xmlns:a16="http://schemas.microsoft.com/office/drawing/2014/main" id="{FC027A26-F2C4-C1C7-DFB0-F74B4C01F7D7}"/>
                  </a:ext>
                </a:extLst>
              </xdr:cNvPr>
              <xdr:cNvSpPr txBox="1"/>
            </xdr:nvSpPr>
            <xdr:spPr>
              <a:xfrm>
                <a:off x="1004871" y="1291167"/>
                <a:ext cx="2124000" cy="158750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28B7B672-D6A9-4F94-BE7D-CDC5B4E36DAE}" type="TxLink">
                  <a:rPr lang="en-US" sz="1100" b="1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 </a:t>
                </a:fld>
                <a:endParaRPr lang="pt-BR" sz="1100" b="1"/>
              </a:p>
            </xdr:txBody>
          </xdr:sp>
          <xdr:sp macro="" textlink="'[1]Home Inicial'!B35">
            <xdr:nvSpPr>
              <xdr:cNvPr id="22" name="CaixaDeTexto 21">
                <a:extLst>
                  <a:ext uri="{FF2B5EF4-FFF2-40B4-BE49-F238E27FC236}">
                    <a16:creationId xmlns:a16="http://schemas.microsoft.com/office/drawing/2014/main" id="{5F40532B-86B0-CE01-0173-385616FEF869}"/>
                  </a:ext>
                </a:extLst>
              </xdr:cNvPr>
              <xdr:cNvSpPr txBox="1"/>
            </xdr:nvSpPr>
            <xdr:spPr>
              <a:xfrm>
                <a:off x="4312174" y="1285876"/>
                <a:ext cx="2072701" cy="155789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6F4AC839-65CF-4FB8-A312-E4863E12A690}" type="TxLink">
                  <a:rPr lang="en-US" sz="1100" b="1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 </a:t>
                </a:fld>
                <a:endParaRPr lang="pt-BR" sz="1100" b="1"/>
              </a:p>
            </xdr:txBody>
          </xdr:sp>
          <xdr:sp macro="" textlink="'[1]Home Inicial'!C21">
            <xdr:nvSpPr>
              <xdr:cNvPr id="23" name="CaixaDeTexto 22">
                <a:extLst>
                  <a:ext uri="{FF2B5EF4-FFF2-40B4-BE49-F238E27FC236}">
                    <a16:creationId xmlns:a16="http://schemas.microsoft.com/office/drawing/2014/main" id="{F6E302A9-C698-CD71-20F0-1A2AA689F872}"/>
                  </a:ext>
                </a:extLst>
              </xdr:cNvPr>
              <xdr:cNvSpPr txBox="1"/>
            </xdr:nvSpPr>
            <xdr:spPr>
              <a:xfrm>
                <a:off x="4719950" y="881063"/>
                <a:ext cx="468000" cy="158750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8A150FB5-4906-4A95-960A-00D52012B063}" type="TxLink">
                  <a:rPr lang="en-US" sz="1100" b="1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 </a:t>
                </a:fld>
                <a:endParaRPr lang="pt-BR" sz="1100" b="1"/>
              </a:p>
            </xdr:txBody>
          </xdr:sp>
          <xdr:sp macro="" textlink="'[1]Home Inicial'!C25">
            <xdr:nvSpPr>
              <xdr:cNvPr id="24" name="CaixaDeTexto 23">
                <a:extLst>
                  <a:ext uri="{FF2B5EF4-FFF2-40B4-BE49-F238E27FC236}">
                    <a16:creationId xmlns:a16="http://schemas.microsoft.com/office/drawing/2014/main" id="{3EA297CB-A206-AD3E-F786-3D70720DD9B3}"/>
                  </a:ext>
                </a:extLst>
              </xdr:cNvPr>
              <xdr:cNvSpPr txBox="1"/>
            </xdr:nvSpPr>
            <xdr:spPr>
              <a:xfrm>
                <a:off x="5626651" y="881063"/>
                <a:ext cx="758224" cy="158750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30F3A5D2-3FA2-4350-8910-E22140BE553E}" type="TxLink">
                  <a:rPr lang="en-US" sz="1100" b="1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 </a:t>
                </a:fld>
                <a:endParaRPr lang="pt-BR" sz="1100" b="1"/>
              </a:p>
            </xdr:txBody>
          </xdr:sp>
          <xdr:sp macro="" textlink="'[1]Home Inicial'!B37">
            <xdr:nvSpPr>
              <xdr:cNvPr id="25" name="CaixaDeTexto 24">
                <a:extLst>
                  <a:ext uri="{FF2B5EF4-FFF2-40B4-BE49-F238E27FC236}">
                    <a16:creationId xmlns:a16="http://schemas.microsoft.com/office/drawing/2014/main" id="{4CA4BE71-4323-A02A-17FC-532C2136A75D}"/>
                  </a:ext>
                </a:extLst>
              </xdr:cNvPr>
              <xdr:cNvSpPr txBox="1"/>
            </xdr:nvSpPr>
            <xdr:spPr>
              <a:xfrm>
                <a:off x="1004870" y="1494896"/>
                <a:ext cx="867587" cy="158750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70195C01-CBCF-429E-AC9B-2C17883B7CDD}" type="TxLink">
                  <a:rPr lang="en-US" sz="1100" b="1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 </a:t>
                </a:fld>
                <a:endParaRPr lang="pt-BR" sz="1100" b="1"/>
              </a:p>
            </xdr:txBody>
          </xdr:sp>
          <xdr:sp macro="" textlink="'[1]Home Inicial'!B39">
            <xdr:nvSpPr>
              <xdr:cNvPr id="26" name="CaixaDeTexto 25">
                <a:extLst>
                  <a:ext uri="{FF2B5EF4-FFF2-40B4-BE49-F238E27FC236}">
                    <a16:creationId xmlns:a16="http://schemas.microsoft.com/office/drawing/2014/main" id="{0E729CB7-9366-7784-5574-5032455D7BAF}"/>
                  </a:ext>
                </a:extLst>
              </xdr:cNvPr>
              <xdr:cNvSpPr txBox="1"/>
            </xdr:nvSpPr>
            <xdr:spPr>
              <a:xfrm>
                <a:off x="2569104" y="1494896"/>
                <a:ext cx="867587" cy="158750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552CC450-AFDE-46F0-92D9-DE8B01BC17E2}" type="TxLink">
                  <a:rPr lang="en-US" sz="1100" b="1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 </a:t>
                </a:fld>
                <a:endParaRPr lang="pt-BR" sz="1100" b="1"/>
              </a:p>
            </xdr:txBody>
          </xdr:sp>
          <xdr:sp macro="" textlink="'[1]Home Inicial'!C37">
            <xdr:nvSpPr>
              <xdr:cNvPr id="27" name="CaixaDeTexto 26">
                <a:extLst>
                  <a:ext uri="{FF2B5EF4-FFF2-40B4-BE49-F238E27FC236}">
                    <a16:creationId xmlns:a16="http://schemas.microsoft.com/office/drawing/2014/main" id="{D39E10C8-588E-07B1-539E-5DB3AF635543}"/>
                  </a:ext>
                </a:extLst>
              </xdr:cNvPr>
              <xdr:cNvSpPr txBox="1"/>
            </xdr:nvSpPr>
            <xdr:spPr>
              <a:xfrm>
                <a:off x="3983001" y="1493993"/>
                <a:ext cx="925426" cy="158750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52307D24-0CFB-4250-8B9F-E4EB35085163}" type="TxLink">
                  <a:rPr lang="en-US" sz="1100" b="1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 </a:t>
                </a:fld>
                <a:endParaRPr lang="pt-BR" sz="1100" b="1"/>
              </a:p>
            </xdr:txBody>
          </xdr:sp>
          <xdr:sp macro="" textlink="'[1]Home Inicial'!C39">
            <xdr:nvSpPr>
              <xdr:cNvPr id="28" name="CaixaDeTexto 27">
                <a:extLst>
                  <a:ext uri="{FF2B5EF4-FFF2-40B4-BE49-F238E27FC236}">
                    <a16:creationId xmlns:a16="http://schemas.microsoft.com/office/drawing/2014/main" id="{CFA05E59-02CE-C66D-9A5C-DBD25343C7EA}"/>
                  </a:ext>
                </a:extLst>
              </xdr:cNvPr>
              <xdr:cNvSpPr txBox="1"/>
            </xdr:nvSpPr>
            <xdr:spPr>
              <a:xfrm>
                <a:off x="5458235" y="1494896"/>
                <a:ext cx="925426" cy="158750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EBF149EA-A186-43E1-872F-003FE2307A4A}" type="TxLink">
                  <a:rPr lang="en-US" sz="1100" b="1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 </a:t>
                </a:fld>
                <a:endParaRPr lang="pt-BR" sz="1100" b="1"/>
              </a:p>
            </xdr:txBody>
          </xdr:sp>
          <xdr:sp macro="" textlink="'[1]Home Inicial'!E47">
            <xdr:nvSpPr>
              <xdr:cNvPr id="29" name="CaixaDeTexto 28">
                <a:extLst>
                  <a:ext uri="{FF2B5EF4-FFF2-40B4-BE49-F238E27FC236}">
                    <a16:creationId xmlns:a16="http://schemas.microsoft.com/office/drawing/2014/main" id="{8F52DD59-D8F3-0CFF-4769-524B17B9AD3C}"/>
                  </a:ext>
                </a:extLst>
              </xdr:cNvPr>
              <xdr:cNvSpPr txBox="1"/>
            </xdr:nvSpPr>
            <xdr:spPr>
              <a:xfrm>
                <a:off x="1004872" y="1698626"/>
                <a:ext cx="1581541" cy="154367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A8E08EDF-A8D7-4A1F-A2A6-17B2785BA25C}" type="TxLink">
                  <a:rPr lang="en-US" sz="1100" b="1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SAO PAULO - SP</a:t>
                </a:fld>
                <a:endParaRPr lang="pt-BR" sz="1050" b="1"/>
              </a:p>
            </xdr:txBody>
          </xdr:sp>
          <xdr:sp macro="" textlink="'[1]Home Inicial'!E45" fLocksText="0">
            <xdr:nvSpPr>
              <xdr:cNvPr id="30" name="CaixaDeTexto 29">
                <a:extLst>
                  <a:ext uri="{FF2B5EF4-FFF2-40B4-BE49-F238E27FC236}">
                    <a16:creationId xmlns:a16="http://schemas.microsoft.com/office/drawing/2014/main" id="{7D2EF7F0-3864-5BD3-EB3A-C2A86E8ADEAD}"/>
                  </a:ext>
                </a:extLst>
              </xdr:cNvPr>
              <xdr:cNvSpPr txBox="1">
                <a:spLocks/>
              </xdr:cNvSpPr>
            </xdr:nvSpPr>
            <xdr:spPr>
              <a:xfrm>
                <a:off x="3223544" y="1697970"/>
                <a:ext cx="722989" cy="158750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rtlCol="0" anchor="ctr"/>
              <a:lstStyle/>
              <a:p>
                <a:pPr marL="0" indent="0" algn="ctr"/>
                <a:fld id="{FA0649C9-F354-4A67-8966-69BDE903D97C}" type="TxLink">
                  <a:rPr lang="en-US" sz="1100" b="1" i="0" u="none" strike="noStrike">
                    <a:solidFill>
                      <a:srgbClr val="000000"/>
                    </a:solidFill>
                    <a:latin typeface="Calibri"/>
                    <a:ea typeface="+mn-ea"/>
                    <a:cs typeface="Calibri"/>
                  </a:rPr>
                  <a:pPr marL="0" indent="0" algn="ctr"/>
                  <a:t> </a:t>
                </a:fld>
                <a:endParaRPr lang="pt-BR" sz="1000" b="1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endParaRPr>
              </a:p>
            </xdr:txBody>
          </xdr:sp>
          <xdr:sp macro="" textlink="'[1]Home Inicial'!I51" fLocksText="0">
            <xdr:nvSpPr>
              <xdr:cNvPr id="31" name="CaixaDeTexto 30">
                <a:extLst>
                  <a:ext uri="{FF2B5EF4-FFF2-40B4-BE49-F238E27FC236}">
                    <a16:creationId xmlns:a16="http://schemas.microsoft.com/office/drawing/2014/main" id="{C2C6158C-C5C6-A095-7026-B75878399C2F}"/>
                  </a:ext>
                </a:extLst>
              </xdr:cNvPr>
              <xdr:cNvSpPr txBox="1"/>
            </xdr:nvSpPr>
            <xdr:spPr>
              <a:xfrm>
                <a:off x="5654434" y="1698625"/>
                <a:ext cx="730442" cy="161713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91DDCA87-792D-45C2-AF54-DC9CB1DF8022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  <a:ea typeface="+mn-ea"/>
                    <a:cs typeface="Calibri"/>
                  </a:rPr>
                  <a:pPr marL="0" indent="0" algn="ctr"/>
                  <a:t> </a:t>
                </a:fld>
                <a:endParaRPr lang="pt-BR" sz="1050" b="1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endParaRPr>
              </a:p>
            </xdr:txBody>
          </xdr:sp>
          <xdr:sp macro="" textlink="#REF!">
            <xdr:nvSpPr>
              <xdr:cNvPr id="32" name="CaixaDeTexto 31">
                <a:extLst>
                  <a:ext uri="{FF2B5EF4-FFF2-40B4-BE49-F238E27FC236}">
                    <a16:creationId xmlns:a16="http://schemas.microsoft.com/office/drawing/2014/main" id="{F6EC4A42-B0B3-EE67-3C3E-A0C5EC7471CA}"/>
                  </a:ext>
                </a:extLst>
              </xdr:cNvPr>
              <xdr:cNvSpPr txBox="1"/>
            </xdr:nvSpPr>
            <xdr:spPr>
              <a:xfrm>
                <a:off x="60223" y="484188"/>
                <a:ext cx="947124" cy="158750"/>
              </a:xfrm>
              <a:prstGeom prst="rect">
                <a:avLst/>
              </a:prstGeom>
              <a:noFill/>
              <a:ln w="19050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FF254A74-D6AC-4F8F-8B86-F91AA21988EC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Razão Social:</a:t>
                </a:fld>
                <a:endParaRPr lang="pt-BR" sz="1200"/>
              </a:p>
            </xdr:txBody>
          </xdr:sp>
          <xdr:sp macro="" textlink="#REF!">
            <xdr:nvSpPr>
              <xdr:cNvPr id="33" name="CaixaDeTexto 32">
                <a:extLst>
                  <a:ext uri="{FF2B5EF4-FFF2-40B4-BE49-F238E27FC236}">
                    <a16:creationId xmlns:a16="http://schemas.microsoft.com/office/drawing/2014/main" id="{F32D5EFB-9110-470C-E8D4-7D50BF2B272A}"/>
                  </a:ext>
                </a:extLst>
              </xdr:cNvPr>
              <xdr:cNvSpPr txBox="1"/>
            </xdr:nvSpPr>
            <xdr:spPr>
              <a:xfrm>
                <a:off x="60223" y="686594"/>
                <a:ext cx="947124" cy="158750"/>
              </a:xfrm>
              <a:prstGeom prst="rect">
                <a:avLst/>
              </a:prstGeom>
              <a:noFill/>
              <a:ln w="19050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0FCD8A02-FDCF-4877-8414-9AB43D8BF369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CNPJ:</a:t>
                </a:fld>
                <a:endParaRPr lang="pt-BR" sz="1200"/>
              </a:p>
            </xdr:txBody>
          </xdr:sp>
          <xdr:sp macro="" textlink="#REF!">
            <xdr:nvSpPr>
              <xdr:cNvPr id="34" name="CaixaDeTexto 33">
                <a:extLst>
                  <a:ext uri="{FF2B5EF4-FFF2-40B4-BE49-F238E27FC236}">
                    <a16:creationId xmlns:a16="http://schemas.microsoft.com/office/drawing/2014/main" id="{75510996-3D4B-836D-72E7-5750C6A258BA}"/>
                  </a:ext>
                </a:extLst>
              </xdr:cNvPr>
              <xdr:cNvSpPr txBox="1"/>
            </xdr:nvSpPr>
            <xdr:spPr>
              <a:xfrm>
                <a:off x="60223" y="889000"/>
                <a:ext cx="947124" cy="158750"/>
              </a:xfrm>
              <a:prstGeom prst="rect">
                <a:avLst/>
              </a:prstGeom>
              <a:noFill/>
              <a:ln w="19050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F6C4E264-6300-4DFF-90BB-36DE9BC4290E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Endereço:</a:t>
                </a:fld>
                <a:endParaRPr lang="pt-BR" sz="1200"/>
              </a:p>
            </xdr:txBody>
          </xdr:sp>
          <xdr:sp macro="" textlink="#REF!">
            <xdr:nvSpPr>
              <xdr:cNvPr id="35" name="CaixaDeTexto 34">
                <a:extLst>
                  <a:ext uri="{FF2B5EF4-FFF2-40B4-BE49-F238E27FC236}">
                    <a16:creationId xmlns:a16="http://schemas.microsoft.com/office/drawing/2014/main" id="{8D68AC48-5D41-DC36-468D-A5D8CAE587F5}"/>
                  </a:ext>
                </a:extLst>
              </xdr:cNvPr>
              <xdr:cNvSpPr txBox="1"/>
            </xdr:nvSpPr>
            <xdr:spPr>
              <a:xfrm>
                <a:off x="60223" y="1091406"/>
                <a:ext cx="947124" cy="158750"/>
              </a:xfrm>
              <a:prstGeom prst="rect">
                <a:avLst/>
              </a:prstGeom>
              <a:noFill/>
              <a:ln w="19050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B85DE56E-8E7F-445B-AE50-849A03C15B2B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Bairro :</a:t>
                </a:fld>
                <a:endParaRPr lang="pt-BR" sz="1200"/>
              </a:p>
            </xdr:txBody>
          </xdr:sp>
          <xdr:sp macro="" textlink="#REF!">
            <xdr:nvSpPr>
              <xdr:cNvPr id="36" name="CaixaDeTexto 35">
                <a:extLst>
                  <a:ext uri="{FF2B5EF4-FFF2-40B4-BE49-F238E27FC236}">
                    <a16:creationId xmlns:a16="http://schemas.microsoft.com/office/drawing/2014/main" id="{3B3B055C-5C57-321B-BE0D-20D7CE0CED34}"/>
                  </a:ext>
                </a:extLst>
              </xdr:cNvPr>
              <xdr:cNvSpPr txBox="1"/>
            </xdr:nvSpPr>
            <xdr:spPr>
              <a:xfrm>
                <a:off x="60223" y="1293812"/>
                <a:ext cx="947124" cy="158750"/>
              </a:xfrm>
              <a:prstGeom prst="rect">
                <a:avLst/>
              </a:prstGeom>
              <a:noFill/>
              <a:ln w="19050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4FF6B999-D9B7-4879-87AC-F22D7BC4A8F3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Contato Sr (a) :</a:t>
                </a:fld>
                <a:endParaRPr lang="pt-BR" sz="1200"/>
              </a:p>
            </xdr:txBody>
          </xdr:sp>
          <xdr:sp macro="" textlink="#REF!">
            <xdr:nvSpPr>
              <xdr:cNvPr id="37" name="CaixaDeTexto 36">
                <a:extLst>
                  <a:ext uri="{FF2B5EF4-FFF2-40B4-BE49-F238E27FC236}">
                    <a16:creationId xmlns:a16="http://schemas.microsoft.com/office/drawing/2014/main" id="{2C01B7A7-A579-C3CA-EBDF-A78CE44914B4}"/>
                  </a:ext>
                </a:extLst>
              </xdr:cNvPr>
              <xdr:cNvSpPr txBox="1"/>
            </xdr:nvSpPr>
            <xdr:spPr>
              <a:xfrm>
                <a:off x="60223" y="1496218"/>
                <a:ext cx="947124" cy="158750"/>
              </a:xfrm>
              <a:prstGeom prst="rect">
                <a:avLst/>
              </a:prstGeom>
              <a:noFill/>
              <a:ln w="19050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3AF3B437-9729-45CF-A3EE-2E99240515C7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Telefone 1 :</a:t>
                </a:fld>
                <a:endParaRPr lang="pt-BR" sz="1200"/>
              </a:p>
            </xdr:txBody>
          </xdr:sp>
          <xdr:sp macro="" textlink="#REF!">
            <xdr:nvSpPr>
              <xdr:cNvPr id="38" name="CaixaDeTexto 37">
                <a:extLst>
                  <a:ext uri="{FF2B5EF4-FFF2-40B4-BE49-F238E27FC236}">
                    <a16:creationId xmlns:a16="http://schemas.microsoft.com/office/drawing/2014/main" id="{0C38FFA6-2226-CF44-D498-7D42707B1D4C}"/>
                  </a:ext>
                </a:extLst>
              </xdr:cNvPr>
              <xdr:cNvSpPr txBox="1"/>
            </xdr:nvSpPr>
            <xdr:spPr>
              <a:xfrm>
                <a:off x="60223" y="1698625"/>
                <a:ext cx="947124" cy="158750"/>
              </a:xfrm>
              <a:prstGeom prst="rect">
                <a:avLst/>
              </a:prstGeom>
              <a:noFill/>
              <a:ln w="19050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E1750AA6-D619-4A90-B100-97CFBCF1A3CF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Origem da Carga :</a:t>
                </a:fld>
                <a:endParaRPr lang="pt-BR" sz="1200"/>
              </a:p>
            </xdr:txBody>
          </xdr:sp>
          <xdr:sp macro="" textlink="#REF!">
            <xdr:nvSpPr>
              <xdr:cNvPr id="39" name="CaixaDeTexto 38">
                <a:extLst>
                  <a:ext uri="{FF2B5EF4-FFF2-40B4-BE49-F238E27FC236}">
                    <a16:creationId xmlns:a16="http://schemas.microsoft.com/office/drawing/2014/main" id="{5C2A1A27-D4A9-A2B7-AA27-769B0D935E21}"/>
                  </a:ext>
                </a:extLst>
              </xdr:cNvPr>
              <xdr:cNvSpPr txBox="1"/>
            </xdr:nvSpPr>
            <xdr:spPr>
              <a:xfrm>
                <a:off x="3058324" y="1079500"/>
                <a:ext cx="645895" cy="158750"/>
              </a:xfrm>
              <a:prstGeom prst="rect">
                <a:avLst/>
              </a:prstGeom>
              <a:noFill/>
              <a:ln w="19050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C53FCFAD-B051-461F-9560-7DC1CED6CC7C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Cidade:</a:t>
                </a:fld>
                <a:endParaRPr lang="pt-BR" sz="1200"/>
              </a:p>
            </xdr:txBody>
          </xdr:sp>
          <xdr:sp macro="" textlink="#REF!">
            <xdr:nvSpPr>
              <xdr:cNvPr id="40" name="CaixaDeTexto 39">
                <a:extLst>
                  <a:ext uri="{FF2B5EF4-FFF2-40B4-BE49-F238E27FC236}">
                    <a16:creationId xmlns:a16="http://schemas.microsoft.com/office/drawing/2014/main" id="{8C50193F-B328-3F75-953E-2E86EF1C7906}"/>
                  </a:ext>
                </a:extLst>
              </xdr:cNvPr>
              <xdr:cNvSpPr txBox="1"/>
            </xdr:nvSpPr>
            <xdr:spPr>
              <a:xfrm>
                <a:off x="2112063" y="682625"/>
                <a:ext cx="1087953" cy="178773"/>
              </a:xfrm>
              <a:prstGeom prst="rect">
                <a:avLst/>
              </a:prstGeom>
              <a:noFill/>
              <a:ln w="19050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B4569D3F-1CEF-48F0-8480-4B79721752D7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Inscrição Estadual:</a:t>
                </a:fld>
                <a:endParaRPr lang="pt-BR" sz="1200"/>
              </a:p>
            </xdr:txBody>
          </xdr:sp>
          <xdr:sp macro="" textlink="#REF!">
            <xdr:nvSpPr>
              <xdr:cNvPr id="41" name="CaixaDeTexto 40">
                <a:extLst>
                  <a:ext uri="{FF2B5EF4-FFF2-40B4-BE49-F238E27FC236}">
                    <a16:creationId xmlns:a16="http://schemas.microsoft.com/office/drawing/2014/main" id="{2050E676-6C1F-5CB3-2F84-9EECFFFCA910}"/>
                  </a:ext>
                </a:extLst>
              </xdr:cNvPr>
              <xdr:cNvSpPr txBox="1"/>
            </xdr:nvSpPr>
            <xdr:spPr>
              <a:xfrm>
                <a:off x="4388095" y="682626"/>
                <a:ext cx="1158957" cy="149392"/>
              </a:xfrm>
              <a:prstGeom prst="rect">
                <a:avLst/>
              </a:prstGeom>
              <a:noFill/>
              <a:ln w="19050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FD7C3AD1-F68F-4CAD-8F7E-A7426C63A0CD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Inscrição Municipal:</a:t>
                </a:fld>
                <a:endParaRPr lang="pt-BR" sz="1200"/>
              </a:p>
            </xdr:txBody>
          </xdr:sp>
          <xdr:sp macro="" textlink="#REF!">
            <xdr:nvSpPr>
              <xdr:cNvPr id="42" name="CaixaDeTexto 41">
                <a:extLst>
                  <a:ext uri="{FF2B5EF4-FFF2-40B4-BE49-F238E27FC236}">
                    <a16:creationId xmlns:a16="http://schemas.microsoft.com/office/drawing/2014/main" id="{B80BB2F5-8540-07EA-2A9C-857DDEE3E1AB}"/>
                  </a:ext>
                </a:extLst>
              </xdr:cNvPr>
              <xdr:cNvSpPr txBox="1"/>
            </xdr:nvSpPr>
            <xdr:spPr>
              <a:xfrm>
                <a:off x="4356855" y="881063"/>
                <a:ext cx="324000" cy="158750"/>
              </a:xfrm>
              <a:prstGeom prst="rect">
                <a:avLst/>
              </a:prstGeom>
              <a:noFill/>
              <a:ln w="19050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6245C747-51C1-4877-BC06-7635CA1B57A4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Nº:</a:t>
                </a:fld>
                <a:endParaRPr lang="pt-BR" sz="1200"/>
              </a:p>
            </xdr:txBody>
          </xdr:sp>
          <xdr:sp macro="" textlink="#REF!">
            <xdr:nvSpPr>
              <xdr:cNvPr id="43" name="CaixaDeTexto 42">
                <a:extLst>
                  <a:ext uri="{FF2B5EF4-FFF2-40B4-BE49-F238E27FC236}">
                    <a16:creationId xmlns:a16="http://schemas.microsoft.com/office/drawing/2014/main" id="{C1DCD809-0CE8-B21A-FAEB-28AF090A0299}"/>
                  </a:ext>
                </a:extLst>
              </xdr:cNvPr>
              <xdr:cNvSpPr txBox="1"/>
            </xdr:nvSpPr>
            <xdr:spPr>
              <a:xfrm>
                <a:off x="5227446" y="881063"/>
                <a:ext cx="360000" cy="158750"/>
              </a:xfrm>
              <a:prstGeom prst="rect">
                <a:avLst/>
              </a:prstGeom>
              <a:noFill/>
              <a:ln w="19050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35420723-AFAC-4558-8AC9-A2A752D5AC94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CEP:</a:t>
                </a:fld>
                <a:endParaRPr lang="pt-BR" sz="1200"/>
              </a:p>
            </xdr:txBody>
          </xdr:sp>
          <xdr:sp macro="" textlink="#REF!">
            <xdr:nvSpPr>
              <xdr:cNvPr id="44" name="CaixaDeTexto 43">
                <a:extLst>
                  <a:ext uri="{FF2B5EF4-FFF2-40B4-BE49-F238E27FC236}">
                    <a16:creationId xmlns:a16="http://schemas.microsoft.com/office/drawing/2014/main" id="{E0F64BB2-340A-C9C4-6E82-910F18988D44}"/>
                  </a:ext>
                </a:extLst>
              </xdr:cNvPr>
              <xdr:cNvSpPr txBox="1"/>
            </xdr:nvSpPr>
            <xdr:spPr>
              <a:xfrm>
                <a:off x="3172869" y="1285875"/>
                <a:ext cx="1200665" cy="170480"/>
              </a:xfrm>
              <a:prstGeom prst="rect">
                <a:avLst/>
              </a:prstGeom>
              <a:noFill/>
              <a:ln w="19050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C25CEC13-4690-40B5-8B0D-55961F9B1B61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Endereço de e-mail:</a:t>
                </a:fld>
                <a:endParaRPr lang="pt-BR" sz="1200"/>
              </a:p>
            </xdr:txBody>
          </xdr:sp>
          <xdr:sp macro="" textlink="#REF!">
            <xdr:nvSpPr>
              <xdr:cNvPr id="45" name="CaixaDeTexto 44">
                <a:extLst>
                  <a:ext uri="{FF2B5EF4-FFF2-40B4-BE49-F238E27FC236}">
                    <a16:creationId xmlns:a16="http://schemas.microsoft.com/office/drawing/2014/main" id="{D5290729-7214-9AC8-F41E-C03E92825511}"/>
                  </a:ext>
                </a:extLst>
              </xdr:cNvPr>
              <xdr:cNvSpPr txBox="1"/>
            </xdr:nvSpPr>
            <xdr:spPr>
              <a:xfrm>
                <a:off x="1868032" y="1492250"/>
                <a:ext cx="756000" cy="158750"/>
              </a:xfrm>
              <a:prstGeom prst="rect">
                <a:avLst/>
              </a:prstGeom>
              <a:noFill/>
              <a:ln w="19050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65EF29BA-8464-4261-BEC3-1AED2F1085FD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Telefone 2:</a:t>
                </a:fld>
                <a:endParaRPr lang="pt-BR" sz="1200"/>
              </a:p>
            </xdr:txBody>
          </xdr:sp>
          <xdr:sp macro="" textlink="#REF!">
            <xdr:nvSpPr>
              <xdr:cNvPr id="46" name="CaixaDeTexto 45">
                <a:extLst>
                  <a:ext uri="{FF2B5EF4-FFF2-40B4-BE49-F238E27FC236}">
                    <a16:creationId xmlns:a16="http://schemas.microsoft.com/office/drawing/2014/main" id="{712C25E9-9B2C-021A-F1F7-9BC95DA41F55}"/>
                  </a:ext>
                </a:extLst>
              </xdr:cNvPr>
              <xdr:cNvSpPr txBox="1"/>
            </xdr:nvSpPr>
            <xdr:spPr>
              <a:xfrm>
                <a:off x="3416672" y="1492250"/>
                <a:ext cx="636230" cy="158750"/>
              </a:xfrm>
              <a:prstGeom prst="rect">
                <a:avLst/>
              </a:prstGeom>
              <a:noFill/>
              <a:ln w="19050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1AF5F1FD-A011-45AC-BBFB-485CD3A436E5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Celular 1:</a:t>
                </a:fld>
                <a:endParaRPr lang="pt-BR" sz="1200"/>
              </a:p>
            </xdr:txBody>
          </xdr:sp>
          <xdr:sp macro="" textlink="#REF!">
            <xdr:nvSpPr>
              <xdr:cNvPr id="47" name="CaixaDeTexto 46">
                <a:extLst>
                  <a:ext uri="{FF2B5EF4-FFF2-40B4-BE49-F238E27FC236}">
                    <a16:creationId xmlns:a16="http://schemas.microsoft.com/office/drawing/2014/main" id="{F63259E4-086B-7EE1-3CF1-5319852A6695}"/>
                  </a:ext>
                </a:extLst>
              </xdr:cNvPr>
              <xdr:cNvSpPr txBox="1"/>
            </xdr:nvSpPr>
            <xdr:spPr>
              <a:xfrm>
                <a:off x="4899439" y="1492250"/>
                <a:ext cx="636230" cy="158750"/>
              </a:xfrm>
              <a:prstGeom prst="rect">
                <a:avLst/>
              </a:prstGeom>
              <a:noFill/>
              <a:ln w="19050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019ACB84-51A6-4C9B-A220-C4AF6EF557D1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Celular 2:</a:t>
                </a:fld>
                <a:endParaRPr lang="pt-BR" sz="1200"/>
              </a:p>
            </xdr:txBody>
          </xdr:sp>
          <xdr:sp macro="" textlink="#REF!">
            <xdr:nvSpPr>
              <xdr:cNvPr id="48" name="CaixaDeTexto 47">
                <a:extLst>
                  <a:ext uri="{FF2B5EF4-FFF2-40B4-BE49-F238E27FC236}">
                    <a16:creationId xmlns:a16="http://schemas.microsoft.com/office/drawing/2014/main" id="{4BB99802-FDED-23BA-F08E-FDF68E75D605}"/>
                  </a:ext>
                </a:extLst>
              </xdr:cNvPr>
              <xdr:cNvSpPr txBox="1"/>
            </xdr:nvSpPr>
            <xdr:spPr>
              <a:xfrm>
                <a:off x="2686811" y="1698625"/>
                <a:ext cx="578391" cy="158750"/>
              </a:xfrm>
              <a:prstGeom prst="rect">
                <a:avLst/>
              </a:prstGeom>
              <a:noFill/>
              <a:ln w="19050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1DDC9560-8233-4B69-B80D-2C530FF98842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Vigência:</a:t>
                </a:fld>
                <a:endParaRPr lang="pt-BR" sz="1200"/>
              </a:p>
            </xdr:txBody>
          </xdr:sp>
          <xdr:sp macro="" textlink="#REF!">
            <xdr:nvSpPr>
              <xdr:cNvPr id="49" name="CaixaDeTexto 48">
                <a:extLst>
                  <a:ext uri="{FF2B5EF4-FFF2-40B4-BE49-F238E27FC236}">
                    <a16:creationId xmlns:a16="http://schemas.microsoft.com/office/drawing/2014/main" id="{8DF8E0A8-FA71-44EE-967C-879A41891D91}"/>
                  </a:ext>
                </a:extLst>
              </xdr:cNvPr>
              <xdr:cNvSpPr txBox="1"/>
            </xdr:nvSpPr>
            <xdr:spPr>
              <a:xfrm>
                <a:off x="3938816" y="1698625"/>
                <a:ext cx="607311" cy="158750"/>
              </a:xfrm>
              <a:prstGeom prst="rect">
                <a:avLst/>
              </a:prstGeom>
              <a:noFill/>
              <a:ln w="19050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fld id="{98DCCDCC-DDB6-4205-9FD9-1F30D07849C1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/>
                  <a:t>Validade:</a:t>
                </a:fld>
                <a:endParaRPr lang="pt-BR" sz="1200"/>
              </a:p>
            </xdr:txBody>
          </xdr:sp>
          <xdr:sp macro="" textlink="'[1]Home Inicial'!I45" fLocksText="0">
            <xdr:nvSpPr>
              <xdr:cNvPr id="50" name="CaixaDeTexto 49">
                <a:extLst>
                  <a:ext uri="{FF2B5EF4-FFF2-40B4-BE49-F238E27FC236}">
                    <a16:creationId xmlns:a16="http://schemas.microsoft.com/office/drawing/2014/main" id="{CA46C566-C08D-F31D-721C-12B9BBF28A2D}"/>
                  </a:ext>
                </a:extLst>
              </xdr:cNvPr>
              <xdr:cNvSpPr txBox="1">
                <a:spLocks/>
              </xdr:cNvSpPr>
            </xdr:nvSpPr>
            <xdr:spPr>
              <a:xfrm>
                <a:off x="4470915" y="1698625"/>
                <a:ext cx="722989" cy="158750"/>
              </a:xfrm>
              <a:prstGeom prst="rect">
                <a:avLst/>
              </a:prstGeom>
              <a:solidFill>
                <a:schemeClr val="bg1"/>
              </a:solidFill>
              <a:ln w="3175" cmpd="sng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4855688E-608C-48AB-A24A-AF039DCF493E}" type="TxLink">
                  <a:rPr lang="en-US" sz="1100" b="1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 algn="ctr"/>
                  <a:t> </a:t>
                </a:fld>
                <a:endParaRPr lang="pt-BR" sz="1000" b="1"/>
              </a:p>
            </xdr:txBody>
          </xdr:sp>
        </xdr:grpSp>
        <xdr:sp macro="" textlink="#REF!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7DE2F923-CEA3-72BE-43DD-2D5489D5FD7F}"/>
                </a:ext>
              </a:extLst>
            </xdr:cNvPr>
            <xdr:cNvSpPr txBox="1"/>
          </xdr:nvSpPr>
          <xdr:spPr>
            <a:xfrm>
              <a:off x="5208194" y="1698625"/>
              <a:ext cx="491633" cy="158750"/>
            </a:xfrm>
            <a:prstGeom prst="rect">
              <a:avLst/>
            </a:prstGeom>
            <a:noFill/>
            <a:ln w="1905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fld id="{8630F869-8856-49C3-8E02-6FA82468478D}" type="TxLink">
                <a:rPr lang="en-US" sz="12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/>
                <a:t>Tabela:</a:t>
              </a:fld>
              <a:endParaRPr lang="pt-BR" sz="1200"/>
            </a:p>
          </xdr:txBody>
        </xdr:sp>
      </xdr:grpSp>
      <xdr:sp macro="" textlink="#REF!">
        <xdr:nvSpPr>
          <xdr:cNvPr id="8" name="CaixaDeTexto 7">
            <a:extLst>
              <a:ext uri="{FF2B5EF4-FFF2-40B4-BE49-F238E27FC236}">
                <a16:creationId xmlns:a16="http://schemas.microsoft.com/office/drawing/2014/main" id="{04E9F0DE-DCE5-2425-03BF-FB06F73AFE4B}"/>
              </a:ext>
            </a:extLst>
          </xdr:cNvPr>
          <xdr:cNvSpPr txBox="1"/>
        </xdr:nvSpPr>
        <xdr:spPr>
          <a:xfrm>
            <a:off x="7581900" y="1533525"/>
            <a:ext cx="461451" cy="205413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fld id="{BCCEE67A-D821-41E5-86BC-DF364351716B}" type="TxLink">
              <a:rPr lang="en-US" sz="12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UF:</a:t>
            </a:fld>
            <a:endParaRPr lang="en-US" sz="1200" b="0" i="0" u="none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</xdr:grpSp>
    <xdr:clientData/>
  </xdr:twoCellAnchor>
  <xdr:twoCellAnchor editAs="oneCell">
    <xdr:from>
      <xdr:col>6</xdr:col>
      <xdr:colOff>333375</xdr:colOff>
      <xdr:row>87</xdr:row>
      <xdr:rowOff>28575</xdr:rowOff>
    </xdr:from>
    <xdr:to>
      <xdr:col>9</xdr:col>
      <xdr:colOff>266925</xdr:colOff>
      <xdr:row>88</xdr:row>
      <xdr:rowOff>26550</xdr:rowOff>
    </xdr:to>
    <xdr:sp macro="" textlink="'[1]Home Inicial'!$E$54">
      <xdr:nvSpPr>
        <xdr:cNvPr id="51" name="CaixaDeTexto 50">
          <a:extLst>
            <a:ext uri="{FF2B5EF4-FFF2-40B4-BE49-F238E27FC236}">
              <a16:creationId xmlns:a16="http://schemas.microsoft.com/office/drawing/2014/main" id="{627CB655-B3C0-424E-8BDF-84C7AA9B9C7C}"/>
            </a:ext>
          </a:extLst>
        </xdr:cNvPr>
        <xdr:cNvSpPr txBox="1"/>
      </xdr:nvSpPr>
      <xdr:spPr>
        <a:xfrm>
          <a:off x="5076825" y="11934825"/>
          <a:ext cx="2772000" cy="198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C53BB0AC-0CB5-472F-981B-150374256B57}" type="TxLink">
            <a:rPr lang="en-US" sz="1100" b="1" i="0" u="none" strike="noStrike">
              <a:solidFill>
                <a:schemeClr val="bg1"/>
              </a:solidFill>
              <a:latin typeface="Calibri"/>
              <a:cs typeface="Calibri"/>
            </a:rPr>
            <a:pPr algn="l"/>
            <a:t>/s1/</a:t>
          </a:fld>
          <a:endParaRPr lang="pt-BR" sz="1100" b="1" i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381000</xdr:colOff>
      <xdr:row>88</xdr:row>
      <xdr:rowOff>19050</xdr:rowOff>
    </xdr:from>
    <xdr:to>
      <xdr:col>9</xdr:col>
      <xdr:colOff>314550</xdr:colOff>
      <xdr:row>89</xdr:row>
      <xdr:rowOff>9272</xdr:rowOff>
    </xdr:to>
    <xdr:sp macro="" textlink="'[1]Home Inicial'!$C$9">
      <xdr:nvSpPr>
        <xdr:cNvPr id="52" name="CaixaDeTexto 51">
          <a:extLst>
            <a:ext uri="{FF2B5EF4-FFF2-40B4-BE49-F238E27FC236}">
              <a16:creationId xmlns:a16="http://schemas.microsoft.com/office/drawing/2014/main" id="{85BDB9C2-FE0B-4B9D-8569-6B5A2B384568}"/>
            </a:ext>
          </a:extLst>
        </xdr:cNvPr>
        <xdr:cNvSpPr txBox="1"/>
      </xdr:nvSpPr>
      <xdr:spPr>
        <a:xfrm>
          <a:off x="5124450" y="12125325"/>
          <a:ext cx="2772000" cy="180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237A35E-9144-420C-A250-A725C4B79865}" type="TxLink">
            <a:rPr lang="en-US" sz="11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Modial Comercial Modial Comercio De Artigos Funerarios Ltda</a:t>
          </a:fld>
          <a:endParaRPr lang="en-US" sz="1100" b="1" i="0" u="none" strike="noStrike">
            <a:solidFill>
              <a:schemeClr val="tx1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6</xdr:col>
      <xdr:colOff>323850</xdr:colOff>
      <xdr:row>89</xdr:row>
      <xdr:rowOff>19050</xdr:rowOff>
    </xdr:from>
    <xdr:to>
      <xdr:col>9</xdr:col>
      <xdr:colOff>257400</xdr:colOff>
      <xdr:row>90</xdr:row>
      <xdr:rowOff>26550</xdr:rowOff>
    </xdr:to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43454E55-8A55-4D78-B95C-283AB84A17D4}"/>
            </a:ext>
          </a:extLst>
        </xdr:cNvPr>
        <xdr:cNvSpPr txBox="1"/>
      </xdr:nvSpPr>
      <xdr:spPr>
        <a:xfrm>
          <a:off x="5067300" y="12315825"/>
          <a:ext cx="2772000" cy="198000"/>
        </a:xfrm>
        <a:prstGeom prst="rect">
          <a:avLst/>
        </a:prstGeom>
        <a:solidFill>
          <a:srgbClr val="FFA74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0"/>
            <a:t>Representante Legal</a:t>
          </a:r>
        </a:p>
      </xdr:txBody>
    </xdr:sp>
    <xdr:clientData/>
  </xdr:twoCellAnchor>
  <xdr:twoCellAnchor editAs="oneCell">
    <xdr:from>
      <xdr:col>1</xdr:col>
      <xdr:colOff>66675</xdr:colOff>
      <xdr:row>0</xdr:row>
      <xdr:rowOff>28575</xdr:rowOff>
    </xdr:from>
    <xdr:to>
      <xdr:col>2</xdr:col>
      <xdr:colOff>855688</xdr:colOff>
      <xdr:row>3</xdr:row>
      <xdr:rowOff>9525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1F729AF9-1689-481C-B906-4C625339A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8575"/>
          <a:ext cx="1084288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923925</xdr:colOff>
          <xdr:row>1</xdr:row>
          <xdr:rowOff>123825</xdr:rowOff>
        </xdr:from>
        <xdr:to>
          <xdr:col>7</xdr:col>
          <xdr:colOff>790575</xdr:colOff>
          <xdr:row>1</xdr:row>
          <xdr:rowOff>314325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Mostrar Menu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19050</xdr:colOff>
          <xdr:row>1</xdr:row>
          <xdr:rowOff>123825</xdr:rowOff>
        </xdr:from>
        <xdr:to>
          <xdr:col>8</xdr:col>
          <xdr:colOff>838200</xdr:colOff>
          <xdr:row>1</xdr:row>
          <xdr:rowOff>314325</xdr:rowOff>
        </xdr:to>
        <xdr:sp macro="" textlink="">
          <xdr:nvSpPr>
            <xdr:cNvPr id="1037" name="Butto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Ocultar Menu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23812</xdr:rowOff>
    </xdr:from>
    <xdr:to>
      <xdr:col>3</xdr:col>
      <xdr:colOff>452438</xdr:colOff>
      <xdr:row>2</xdr:row>
      <xdr:rowOff>20931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EFD4FB-F0DD-42D9-AF17-F03C28AE0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"/>
          <a:ext cx="842963" cy="41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0</xdr:rowOff>
    </xdr:from>
    <xdr:to>
      <xdr:col>2</xdr:col>
      <xdr:colOff>153988</xdr:colOff>
      <xdr:row>1</xdr:row>
      <xdr:rowOff>417807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C04253-FE5C-49C1-8764-DD164B198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66675"/>
          <a:ext cx="849313" cy="417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31751</xdr:colOff>
      <xdr:row>0</xdr:row>
      <xdr:rowOff>47626</xdr:rowOff>
    </xdr:from>
    <xdr:to>
      <xdr:col>3</xdr:col>
      <xdr:colOff>1</xdr:colOff>
      <xdr:row>2</xdr:row>
      <xdr:rowOff>17924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0228FA-D50E-4CA4-80DD-949B3D745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1" y="47626"/>
          <a:ext cx="720725" cy="360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49214</xdr:colOff>
      <xdr:row>0</xdr:row>
      <xdr:rowOff>49212</xdr:rowOff>
    </xdr:from>
    <xdr:to>
      <xdr:col>9</xdr:col>
      <xdr:colOff>261939</xdr:colOff>
      <xdr:row>2</xdr:row>
      <xdr:rowOff>7015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F6A694F-1626-4A84-9120-FF8094C98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8714" y="49212"/>
          <a:ext cx="708025" cy="348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31751</xdr:colOff>
      <xdr:row>1</xdr:row>
      <xdr:rowOff>7938</xdr:rowOff>
    </xdr:from>
    <xdr:to>
      <xdr:col>2</xdr:col>
      <xdr:colOff>238126</xdr:colOff>
      <xdr:row>2</xdr:row>
      <xdr:rowOff>372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18C6BF-5CAC-4C13-AC83-BD8C4970E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1" y="74613"/>
          <a:ext cx="635000" cy="316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</xdr:colOff>
      <xdr:row>0</xdr:row>
      <xdr:rowOff>47625</xdr:rowOff>
    </xdr:from>
    <xdr:to>
      <xdr:col>2</xdr:col>
      <xdr:colOff>500063</xdr:colOff>
      <xdr:row>2</xdr:row>
      <xdr:rowOff>14018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3ED140-900D-403D-98B9-B437EF9D2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" y="47625"/>
          <a:ext cx="723901" cy="3569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</xdr:colOff>
      <xdr:row>0</xdr:row>
      <xdr:rowOff>47625</xdr:rowOff>
    </xdr:from>
    <xdr:to>
      <xdr:col>2</xdr:col>
      <xdr:colOff>500063</xdr:colOff>
      <xdr:row>2</xdr:row>
      <xdr:rowOff>14018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128FA3-EECF-45E3-B4D0-C0C001A4F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" y="47625"/>
          <a:ext cx="723901" cy="3569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31751</xdr:colOff>
      <xdr:row>0</xdr:row>
      <xdr:rowOff>47625</xdr:rowOff>
    </xdr:from>
    <xdr:to>
      <xdr:col>2</xdr:col>
      <xdr:colOff>293688</xdr:colOff>
      <xdr:row>2</xdr:row>
      <xdr:rowOff>2304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E89C3B-8255-4CBB-B889-9F6DDB860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1" y="47625"/>
          <a:ext cx="690562" cy="3452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31751</xdr:colOff>
      <xdr:row>0</xdr:row>
      <xdr:rowOff>47625</xdr:rowOff>
    </xdr:from>
    <xdr:to>
      <xdr:col>2</xdr:col>
      <xdr:colOff>293688</xdr:colOff>
      <xdr:row>2</xdr:row>
      <xdr:rowOff>2304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9B18F51-4710-4529-A2D8-A49C9548D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1" y="47625"/>
          <a:ext cx="690562" cy="3452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152401</xdr:rowOff>
    </xdr:from>
    <xdr:to>
      <xdr:col>2</xdr:col>
      <xdr:colOff>114301</xdr:colOff>
      <xdr:row>2</xdr:row>
      <xdr:rowOff>22738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0C34D1B-321C-4157-897E-4EC74B7F8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152401"/>
          <a:ext cx="723900" cy="35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imulador\Layout.xlsm" TargetMode="External"/><Relationship Id="rId1" Type="http://schemas.openxmlformats.org/officeDocument/2006/relationships/externalLinkPath" Target="/Simulador/Layou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andre.soares/Downloads/3&#170;%20faixa%20-%20Layo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ções"/>
      <sheetName val="Custon Tabela Pares"/>
      <sheetName val="Tabela Fracionada Pares"/>
      <sheetName val="Home Inicial"/>
      <sheetName val="Tabela de Fretes B2C RS"/>
      <sheetName val="Tabela de Fretes 10kg"/>
      <sheetName val="Tabela de Fretes 20kg"/>
      <sheetName val="Tabela de Fretes 30kg"/>
      <sheetName val="Abrangências"/>
      <sheetName val="Custon Tab. Perc.%"/>
      <sheetName val="Abrangência B2C RS"/>
      <sheetName val="Tabela de Fretes B2C BA"/>
      <sheetName val="Abrangência B2C BA"/>
      <sheetName val="Tabela de Fretes B2C SC"/>
      <sheetName val="Abrangência B2C SC"/>
      <sheetName val="Tabela de Fretes B2C SP"/>
      <sheetName val="Abrangência B2C SP"/>
      <sheetName val="Abrangência B2C"/>
      <sheetName val="Tabela Especial"/>
      <sheetName val="Preficicação Consolidada"/>
      <sheetName val="Tabela Percentual"/>
      <sheetName val="Solicitação de Descontos"/>
      <sheetName val="CT-e's Excedentes"/>
      <sheetName val="Cadastro Tab. Existente"/>
      <sheetName val="Cadastro Tab. EPP"/>
      <sheetName val="BA"/>
      <sheetName val="CE"/>
      <sheetName val="ES"/>
      <sheetName val="MG"/>
      <sheetName val="PE"/>
      <sheetName val="PR"/>
      <sheetName val="RJ"/>
      <sheetName val="RS"/>
      <sheetName val="SC"/>
      <sheetName val="SE"/>
      <sheetName val="SP"/>
      <sheetName val="Tabela Fracionada"/>
      <sheetName val="Custon Tabela"/>
      <sheetName val="Generalidades Preços"/>
      <sheetName val="Generalidades"/>
      <sheetName val="Tabela Especial 30kg"/>
      <sheetName val="Precificação até 30kg"/>
      <sheetName val="Cadastro"/>
      <sheetName val="Não Agrupamento"/>
      <sheetName val="EMEX e TRT"/>
      <sheetName val="Contrato e Perfil B2C"/>
      <sheetName val="Capitais"/>
      <sheetName val="Contrato e Perfil"/>
      <sheetName val="3ª Faixa BA, MG , SP e Atend PE"/>
      <sheetName val="TDA"/>
      <sheetName val="TAG"/>
      <sheetName val="Analise Cadastro"/>
      <sheetName val="Layout"/>
    </sheetNames>
    <definedNames>
      <definedName name="Menu_Mostrar"/>
      <definedName name="Menu_Ocultar"/>
    </definedNames>
    <sheetDataSet>
      <sheetData sheetId="0"/>
      <sheetData sheetId="1"/>
      <sheetData sheetId="2"/>
      <sheetData sheetId="3">
        <row r="9">
          <cell r="E9" t="str">
            <v>Modial Comercial Modial Comercio de Artigos Funerarios LTDA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3">
          <cell r="A33" t="str">
            <v>RUIM</v>
          </cell>
        </row>
        <row r="47">
          <cell r="E47" t="str">
            <v>RUIM</v>
          </cell>
        </row>
        <row r="59">
          <cell r="E59" t="str">
            <v>RUIM</v>
          </cell>
        </row>
        <row r="71">
          <cell r="E71" t="str">
            <v>RUIM</v>
          </cell>
        </row>
        <row r="86">
          <cell r="E86" t="str">
            <v>NADA</v>
          </cell>
        </row>
        <row r="105">
          <cell r="C105" t="str">
            <v>RUIM</v>
          </cell>
        </row>
        <row r="106">
          <cell r="C106" t="str">
            <v>REGULAR</v>
          </cell>
        </row>
        <row r="107">
          <cell r="C107" t="str">
            <v>BOM</v>
          </cell>
        </row>
        <row r="108">
          <cell r="C108" t="str">
            <v>NADA</v>
          </cell>
        </row>
        <row r="109">
          <cell r="C109" t="str">
            <v>NÃO</v>
          </cell>
        </row>
      </sheetData>
      <sheetData sheetId="5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ª Faixa BA, MG , SP e Atend PE"/>
    </sheetNames>
    <sheetDataSet>
      <sheetData sheetId="0">
        <row r="7">
          <cell r="C7" t="str">
            <v>ADAO COLARES</v>
          </cell>
        </row>
        <row r="8">
          <cell r="C8" t="str">
            <v>AGUA BOA</v>
          </cell>
        </row>
        <row r="9">
          <cell r="C9" t="str">
            <v>AGUA BRANCA DE MINAS</v>
          </cell>
        </row>
        <row r="10">
          <cell r="C10" t="str">
            <v>AGUAS FORMOSAS</v>
          </cell>
        </row>
        <row r="11">
          <cell r="C11" t="str">
            <v>AGUAS VERMELHAS</v>
          </cell>
        </row>
        <row r="12">
          <cell r="C12" t="str">
            <v>ALMENARA</v>
          </cell>
        </row>
        <row r="13">
          <cell r="C13" t="str">
            <v>ALTO BELO</v>
          </cell>
        </row>
        <row r="14">
          <cell r="C14" t="str">
            <v>ALVACAO</v>
          </cell>
        </row>
        <row r="15">
          <cell r="C15" t="str">
            <v>ANGELANDIA</v>
          </cell>
        </row>
        <row r="16">
          <cell r="C16" t="str">
            <v>ANGICOS DE MINAS</v>
          </cell>
        </row>
        <row r="17">
          <cell r="C17" t="str">
            <v>ANTONIO FERREIRA</v>
          </cell>
        </row>
        <row r="18">
          <cell r="C18" t="str">
            <v>ARACUAI</v>
          </cell>
        </row>
        <row r="19">
          <cell r="C19" t="str">
            <v>ARICANDUVA</v>
          </cell>
        </row>
        <row r="20">
          <cell r="C20" t="str">
            <v>ARINOS</v>
          </cell>
        </row>
        <row r="21">
          <cell r="C21" t="str">
            <v>ARISTIDES BATISTA</v>
          </cell>
        </row>
        <row r="22">
          <cell r="C22" t="str">
            <v>ATALEIA</v>
          </cell>
        </row>
        <row r="23">
          <cell r="C23" t="str">
            <v>AUGUSTO DE LIMA</v>
          </cell>
        </row>
        <row r="24">
          <cell r="C24" t="str">
            <v>AVAI DO JACINTO</v>
          </cell>
        </row>
        <row r="25">
          <cell r="C25" t="str">
            <v>BALBINOPOLIS</v>
          </cell>
        </row>
        <row r="26">
          <cell r="C26" t="str">
            <v>BANDEIRA</v>
          </cell>
        </row>
        <row r="27">
          <cell r="C27" t="str">
            <v>BARREIRO BRANCO</v>
          </cell>
        </row>
        <row r="28">
          <cell r="C28" t="str">
            <v>BARREIRO DA RAIZ</v>
          </cell>
        </row>
        <row r="29">
          <cell r="C29" t="str">
            <v>BARREIRO DO RIO VERDE</v>
          </cell>
        </row>
        <row r="30">
          <cell r="C30" t="str">
            <v>BARROCAO</v>
          </cell>
        </row>
        <row r="31">
          <cell r="C31" t="str">
            <v>BENTOPOLIS DE MINAS</v>
          </cell>
        </row>
        <row r="32">
          <cell r="C32" t="str">
            <v>BERILO</v>
          </cell>
        </row>
        <row r="33">
          <cell r="C33" t="str">
            <v>BERIZAL</v>
          </cell>
        </row>
        <row r="34">
          <cell r="C34" t="str">
            <v>BERTOPOLIS</v>
          </cell>
        </row>
        <row r="35">
          <cell r="C35" t="str">
            <v>BOCAIUVA</v>
          </cell>
        </row>
        <row r="36">
          <cell r="C36" t="str">
            <v>BONANCA</v>
          </cell>
        </row>
        <row r="37">
          <cell r="C37" t="str">
            <v>BONFINOPOLIS DE MINAS</v>
          </cell>
        </row>
        <row r="38">
          <cell r="C38" t="str">
            <v>BONITO DE MINAS</v>
          </cell>
        </row>
        <row r="39">
          <cell r="C39" t="str">
            <v>BOTUMIRIM</v>
          </cell>
        </row>
        <row r="40">
          <cell r="C40" t="str">
            <v>BRASILIA DE MINAS</v>
          </cell>
        </row>
        <row r="41">
          <cell r="C41" t="str">
            <v>BREJO DO AMPARO</v>
          </cell>
        </row>
        <row r="42">
          <cell r="C42" t="str">
            <v>BUENOPOLIS</v>
          </cell>
        </row>
        <row r="43">
          <cell r="C43" t="str">
            <v>BURITIS</v>
          </cell>
        </row>
        <row r="44">
          <cell r="C44" t="str">
            <v>CABECEIRA GRANDE</v>
          </cell>
        </row>
        <row r="45">
          <cell r="C45" t="str">
            <v>CACARATIBA</v>
          </cell>
        </row>
        <row r="46">
          <cell r="C46" t="str">
            <v>CACAREMA</v>
          </cell>
        </row>
        <row r="47">
          <cell r="C47" t="str">
            <v>CACHOEIRA DE PAJEU</v>
          </cell>
        </row>
        <row r="48">
          <cell r="C48" t="str">
            <v>CACHOEIRA DO MANTEIGA</v>
          </cell>
        </row>
        <row r="49">
          <cell r="C49" t="str">
            <v>CAMPANARIO</v>
          </cell>
        </row>
        <row r="50">
          <cell r="C50" t="str">
            <v>CAMPO ALEGRE DE MINAS</v>
          </cell>
        </row>
        <row r="51">
          <cell r="C51" t="str">
            <v>CAMPO AZUL</v>
          </cell>
        </row>
        <row r="52">
          <cell r="C52" t="str">
            <v>CAMPO REDONDO</v>
          </cell>
        </row>
        <row r="53">
          <cell r="C53" t="str">
            <v>CANABRAVA</v>
          </cell>
        </row>
        <row r="54">
          <cell r="C54" t="str">
            <v>CAPELINHA</v>
          </cell>
        </row>
        <row r="55">
          <cell r="C55" t="str">
            <v>CAPITANIA</v>
          </cell>
        </row>
        <row r="56">
          <cell r="C56" t="str">
            <v>CAPITAO ENEAS</v>
          </cell>
        </row>
        <row r="57">
          <cell r="C57" t="str">
            <v>CARAI</v>
          </cell>
        </row>
        <row r="58">
          <cell r="C58" t="str">
            <v>CARLOS CHAGAS</v>
          </cell>
        </row>
        <row r="59">
          <cell r="C59" t="str">
            <v>CATAJAS</v>
          </cell>
        </row>
        <row r="60">
          <cell r="C60" t="str">
            <v>CATUJI</v>
          </cell>
        </row>
        <row r="61">
          <cell r="C61" t="str">
            <v>CATUNI</v>
          </cell>
        </row>
        <row r="62">
          <cell r="C62" t="str">
            <v>CATUTI</v>
          </cell>
        </row>
        <row r="63">
          <cell r="C63" t="str">
            <v>CHAPADA DO NORTE</v>
          </cell>
        </row>
        <row r="64">
          <cell r="C64" t="str">
            <v>CHAPADA GAUCHA</v>
          </cell>
        </row>
        <row r="65">
          <cell r="C65" t="str">
            <v>CLARO DOS POCOES</v>
          </cell>
        </row>
        <row r="66">
          <cell r="C66" t="str">
            <v>COMERCINHO</v>
          </cell>
        </row>
        <row r="67">
          <cell r="C67" t="str">
            <v>CONCORDIA DE MUCURI</v>
          </cell>
        </row>
        <row r="68">
          <cell r="C68" t="str">
            <v>CONDADO DO NORTE</v>
          </cell>
        </row>
        <row r="69">
          <cell r="C69" t="str">
            <v>CONEGO MARINHO</v>
          </cell>
        </row>
        <row r="70">
          <cell r="C70" t="str">
            <v>CORACAO DE JESUS</v>
          </cell>
        </row>
        <row r="71">
          <cell r="C71" t="str">
            <v>CORONEL MURTA</v>
          </cell>
        </row>
        <row r="72">
          <cell r="C72" t="str">
            <v>CRISOLITA</v>
          </cell>
        </row>
        <row r="73">
          <cell r="C73" t="str">
            <v>CRISPIM JAQUES</v>
          </cell>
        </row>
        <row r="74">
          <cell r="C74" t="str">
            <v>CRISTALIA</v>
          </cell>
        </row>
        <row r="75">
          <cell r="C75" t="str">
            <v>CURIMATAI</v>
          </cell>
        </row>
        <row r="76">
          <cell r="C76" t="str">
            <v>CURRAL DE DENTRO</v>
          </cell>
        </row>
        <row r="77">
          <cell r="C77" t="str">
            <v>DIVISA ALEGRE</v>
          </cell>
        </row>
        <row r="78">
          <cell r="C78" t="str">
            <v>DIVISOPOLIS</v>
          </cell>
        </row>
        <row r="79">
          <cell r="C79" t="str">
            <v>DOIS DE ABRIL</v>
          </cell>
        </row>
        <row r="80">
          <cell r="C80" t="str">
            <v>DOM BOSCO</v>
          </cell>
        </row>
        <row r="81">
          <cell r="C81" t="str">
            <v>ENGENHEIRO DOLABELA</v>
          </cell>
        </row>
        <row r="82">
          <cell r="C82" t="str">
            <v>ENGENHEIRO NAVARRO</v>
          </cell>
        </row>
        <row r="83">
          <cell r="C83" t="str">
            <v>ENGENHEIRO SCHNOOR</v>
          </cell>
        </row>
        <row r="84">
          <cell r="C84" t="str">
            <v>EPAMINONDAS OTONI</v>
          </cell>
        </row>
        <row r="85">
          <cell r="C85" t="str">
            <v>ERMIDINHA</v>
          </cell>
        </row>
        <row r="86">
          <cell r="C86" t="str">
            <v>ESPINOSA</v>
          </cell>
        </row>
        <row r="87">
          <cell r="C87" t="str">
            <v>ESTRELA DE JORDANIA</v>
          </cell>
        </row>
        <row r="88">
          <cell r="C88" t="str">
            <v>FELISBURGO</v>
          </cell>
        </row>
        <row r="89">
          <cell r="C89" t="str">
            <v>FERNAO DIAS</v>
          </cell>
        </row>
        <row r="90">
          <cell r="C90" t="str">
            <v>FERREIROPOLIS</v>
          </cell>
        </row>
        <row r="91">
          <cell r="C91" t="str">
            <v>FIDELANDIA</v>
          </cell>
        </row>
        <row r="92">
          <cell r="C92" t="str">
            <v>FORMOSO</v>
          </cell>
        </row>
        <row r="93">
          <cell r="C93" t="str">
            <v>FRANCISCO BADARO</v>
          </cell>
        </row>
        <row r="94">
          <cell r="C94" t="str">
            <v>FRANCISCO DUMONT</v>
          </cell>
        </row>
        <row r="95">
          <cell r="C95" t="str">
            <v>FRANCISCO SA</v>
          </cell>
        </row>
        <row r="96">
          <cell r="C96" t="str">
            <v>FRANCISCOPOLIS</v>
          </cell>
        </row>
        <row r="97">
          <cell r="C97" t="str">
            <v>FREI GASPAR</v>
          </cell>
        </row>
        <row r="98">
          <cell r="C98" t="str">
            <v>FREI SERAFIM</v>
          </cell>
        </row>
        <row r="99">
          <cell r="C99" t="str">
            <v>FREIRE CARDOSO</v>
          </cell>
        </row>
        <row r="100">
          <cell r="C100" t="str">
            <v>FRONTEIRA DOS VALES</v>
          </cell>
        </row>
        <row r="101">
          <cell r="C101" t="str">
            <v>FRUTA DE LEITE</v>
          </cell>
        </row>
        <row r="102">
          <cell r="C102" t="str">
            <v>GAMELEIRAS</v>
          </cell>
        </row>
        <row r="103">
          <cell r="C103" t="str">
            <v>GLAUCILANDIA</v>
          </cell>
        </row>
        <row r="104">
          <cell r="C104" t="str">
            <v>GLUCINIO</v>
          </cell>
        </row>
        <row r="105">
          <cell r="C105" t="str">
            <v>GORUTUBA</v>
          </cell>
        </row>
        <row r="106">
          <cell r="C106" t="str">
            <v>GRAO MOGOL</v>
          </cell>
        </row>
        <row r="107">
          <cell r="C107" t="str">
            <v>GUAICUI</v>
          </cell>
        </row>
        <row r="108">
          <cell r="C108" t="str">
            <v>GUARACIAMA</v>
          </cell>
        </row>
        <row r="109">
          <cell r="C109" t="str">
            <v>GUARANILANDIA</v>
          </cell>
        </row>
        <row r="110">
          <cell r="C110" t="str">
            <v>GUARATAIA</v>
          </cell>
        </row>
        <row r="111">
          <cell r="C111" t="str">
            <v>IBIAI</v>
          </cell>
        </row>
        <row r="112">
          <cell r="C112" t="str">
            <v>IBIRACATU</v>
          </cell>
        </row>
        <row r="113">
          <cell r="C113" t="str">
            <v>ICARAI DE MINAS</v>
          </cell>
        </row>
        <row r="114">
          <cell r="C114" t="str">
            <v>INDAIABIRA</v>
          </cell>
        </row>
        <row r="115">
          <cell r="C115" t="str">
            <v>ITACAMBIRA</v>
          </cell>
        </row>
        <row r="116">
          <cell r="C116" t="str">
            <v>ITACARAMBI</v>
          </cell>
        </row>
        <row r="117">
          <cell r="C117" t="str">
            <v>ITAIPE</v>
          </cell>
        </row>
        <row r="118">
          <cell r="C118" t="str">
            <v>ITAMARATI</v>
          </cell>
        </row>
        <row r="119">
          <cell r="C119" t="str">
            <v>ITAMBACURI</v>
          </cell>
        </row>
        <row r="120">
          <cell r="C120" t="str">
            <v>ITAMIRIM</v>
          </cell>
        </row>
        <row r="121">
          <cell r="C121" t="str">
            <v>ITAOBIM</v>
          </cell>
        </row>
        <row r="122">
          <cell r="C122" t="str">
            <v>ITAPIRU</v>
          </cell>
        </row>
        <row r="123">
          <cell r="C123" t="str">
            <v>ITINGA</v>
          </cell>
        </row>
        <row r="124">
          <cell r="C124" t="str">
            <v>ITIRA</v>
          </cell>
        </row>
        <row r="125">
          <cell r="C125" t="str">
            <v>JACARE</v>
          </cell>
        </row>
        <row r="126">
          <cell r="C126" t="str">
            <v>JACINTO</v>
          </cell>
        </row>
        <row r="127">
          <cell r="C127" t="str">
            <v>JAGUARAO</v>
          </cell>
        </row>
        <row r="128">
          <cell r="C128" t="str">
            <v>JAGUARITIRA</v>
          </cell>
        </row>
        <row r="129">
          <cell r="C129" t="str">
            <v>JAIBA</v>
          </cell>
        </row>
        <row r="130">
          <cell r="C130" t="str">
            <v>JANAUBA</v>
          </cell>
        </row>
        <row r="131">
          <cell r="C131" t="str">
            <v>JANUARIA</v>
          </cell>
        </row>
        <row r="132">
          <cell r="C132" t="str">
            <v>JAPONVAR</v>
          </cell>
        </row>
        <row r="133">
          <cell r="C133" t="str">
            <v>JENIPAPO DE MINAS</v>
          </cell>
        </row>
        <row r="134">
          <cell r="C134" t="str">
            <v>JEQUITAI</v>
          </cell>
        </row>
        <row r="135">
          <cell r="C135" t="str">
            <v>JEQUITINHONHA</v>
          </cell>
        </row>
        <row r="136">
          <cell r="C136" t="str">
            <v>JOAIMA</v>
          </cell>
        </row>
        <row r="137">
          <cell r="C137" t="str">
            <v>JOAQUIM FELICIO</v>
          </cell>
        </row>
        <row r="138">
          <cell r="C138" t="str">
            <v>JORDANIA</v>
          </cell>
        </row>
        <row r="139">
          <cell r="C139" t="str">
            <v>JOSE GONCALVES DE MINAS</v>
          </cell>
        </row>
        <row r="140">
          <cell r="C140" t="str">
            <v>JOSE RAYDAN</v>
          </cell>
        </row>
        <row r="141">
          <cell r="C141" t="str">
            <v>JOSENOPOLIS</v>
          </cell>
        </row>
        <row r="142">
          <cell r="C142" t="str">
            <v>JUNCO DE MINAS</v>
          </cell>
        </row>
        <row r="143">
          <cell r="C143" t="str">
            <v>JURAMENTO</v>
          </cell>
        </row>
        <row r="144">
          <cell r="C144" t="str">
            <v>JUVENILIA</v>
          </cell>
        </row>
        <row r="145">
          <cell r="C145" t="str">
            <v>LADAINHA</v>
          </cell>
        </row>
        <row r="146">
          <cell r="C146" t="str">
            <v>LAGOA DOS PATOS</v>
          </cell>
        </row>
        <row r="147">
          <cell r="C147" t="str">
            <v>LEME DO PRADO</v>
          </cell>
        </row>
        <row r="148">
          <cell r="C148" t="str">
            <v>LEVINOPOLIS</v>
          </cell>
        </row>
        <row r="149">
          <cell r="C149" t="str">
            <v>LONTRA</v>
          </cell>
        </row>
        <row r="150">
          <cell r="C150" t="str">
            <v>LUFA</v>
          </cell>
        </row>
        <row r="151">
          <cell r="C151" t="str">
            <v>LUISLANDIA</v>
          </cell>
        </row>
        <row r="152">
          <cell r="C152" t="str">
            <v>LUIZ PIRES DE MINAS</v>
          </cell>
        </row>
        <row r="153">
          <cell r="C153" t="str">
            <v>MACHACALIS</v>
          </cell>
        </row>
        <row r="154">
          <cell r="C154" t="str">
            <v>MAE DOS HOMENS</v>
          </cell>
        </row>
        <row r="155">
          <cell r="C155" t="str">
            <v>MALACACHETA</v>
          </cell>
        </row>
        <row r="156">
          <cell r="C156" t="str">
            <v>MAMONAS</v>
          </cell>
        </row>
        <row r="157">
          <cell r="C157" t="str">
            <v>MANGA</v>
          </cell>
        </row>
        <row r="158">
          <cell r="C158" t="str">
            <v>MARAMBAINHA</v>
          </cell>
        </row>
        <row r="159">
          <cell r="C159" t="str">
            <v>MATA VERDE</v>
          </cell>
        </row>
        <row r="160">
          <cell r="C160" t="str">
            <v>MATIAS CARDOSO</v>
          </cell>
        </row>
        <row r="161">
          <cell r="C161" t="str">
            <v>MATO VERDE</v>
          </cell>
        </row>
        <row r="162">
          <cell r="C162" t="str">
            <v>MEDINA</v>
          </cell>
        </row>
        <row r="163">
          <cell r="C163" t="str">
            <v>MENDONCA</v>
          </cell>
        </row>
        <row r="164">
          <cell r="C164" t="str">
            <v>MINAS NOVAS</v>
          </cell>
        </row>
        <row r="165">
          <cell r="C165" t="str">
            <v>MIRABELA</v>
          </cell>
        </row>
        <row r="166">
          <cell r="C166" t="str">
            <v>MIRALTA</v>
          </cell>
        </row>
        <row r="167">
          <cell r="C167" t="str">
            <v>MIRAVANIA</v>
          </cell>
        </row>
        <row r="168">
          <cell r="C168" t="str">
            <v>MOCAMBINHO</v>
          </cell>
        </row>
        <row r="169">
          <cell r="C169" t="str">
            <v>MONTALVANIA</v>
          </cell>
        </row>
        <row r="170">
          <cell r="C170" t="str">
            <v>MONTE AZUL</v>
          </cell>
        </row>
        <row r="171">
          <cell r="C171" t="str">
            <v>MONTE FORMOSO</v>
          </cell>
        </row>
        <row r="172">
          <cell r="C172" t="str">
            <v>MONTE REI</v>
          </cell>
        </row>
        <row r="173">
          <cell r="C173" t="str">
            <v>MONTES CLAROS</v>
          </cell>
        </row>
        <row r="174">
          <cell r="C174" t="str">
            <v>MONTEZUMA</v>
          </cell>
        </row>
        <row r="175">
          <cell r="C175" t="str">
            <v>MORRO</v>
          </cell>
        </row>
        <row r="176">
          <cell r="C176" t="str">
            <v>MUCURI</v>
          </cell>
        </row>
        <row r="177">
          <cell r="C177" t="str">
            <v>MUQUEM</v>
          </cell>
        </row>
        <row r="178">
          <cell r="C178" t="str">
            <v>NANUQUE</v>
          </cell>
        </row>
        <row r="179">
          <cell r="C179" t="str">
            <v>NATALANDIA</v>
          </cell>
        </row>
        <row r="180">
          <cell r="C180" t="str">
            <v>NHANDUTIBA</v>
          </cell>
        </row>
        <row r="181">
          <cell r="C181" t="str">
            <v>NINHEIRA</v>
          </cell>
        </row>
        <row r="182">
          <cell r="C182" t="str">
            <v>NOVA ESPERANCA</v>
          </cell>
        </row>
        <row r="183">
          <cell r="C183" t="str">
            <v>NOVA MINDA</v>
          </cell>
        </row>
        <row r="184">
          <cell r="C184" t="str">
            <v>NOVA PORTEIRINHA</v>
          </cell>
        </row>
        <row r="185">
          <cell r="C185" t="str">
            <v>NOVILHONA</v>
          </cell>
        </row>
        <row r="186">
          <cell r="C186" t="str">
            <v>NOVO CRUZEIRO</v>
          </cell>
        </row>
        <row r="187">
          <cell r="C187" t="str">
            <v>NOVO HORIZONTE</v>
          </cell>
        </row>
        <row r="188">
          <cell r="C188" t="str">
            <v>NOVO ORIENTE DE MINAS</v>
          </cell>
        </row>
        <row r="189">
          <cell r="C189" t="str">
            <v>NOVORIZONTE</v>
          </cell>
        </row>
        <row r="190">
          <cell r="C190" t="str">
            <v>OLHOS D AGUA</v>
          </cell>
        </row>
        <row r="191">
          <cell r="C191" t="str">
            <v>OLIMPIO CAMPOS</v>
          </cell>
        </row>
        <row r="192">
          <cell r="C192" t="str">
            <v>OURO VERDE DE MINAS</v>
          </cell>
        </row>
        <row r="193">
          <cell r="C193" t="str">
            <v>PACIENCIA</v>
          </cell>
        </row>
        <row r="194">
          <cell r="C194" t="str">
            <v>PADRE CARVALHO</v>
          </cell>
        </row>
        <row r="195">
          <cell r="C195" t="str">
            <v>PADRE PARAISO</v>
          </cell>
        </row>
        <row r="196">
          <cell r="C196" t="str">
            <v>PAI PEDRO</v>
          </cell>
        </row>
        <row r="197">
          <cell r="C197" t="str">
            <v>PALMOPOLIS</v>
          </cell>
        </row>
        <row r="198">
          <cell r="C198" t="str">
            <v>PARACATU</v>
          </cell>
        </row>
        <row r="199">
          <cell r="C199" t="str">
            <v>PAREDAO DE MINAS</v>
          </cell>
        </row>
        <row r="200">
          <cell r="C200" t="str">
            <v>PATIS</v>
          </cell>
        </row>
        <row r="201">
          <cell r="C201" t="str">
            <v>PAVAO</v>
          </cell>
        </row>
        <row r="202">
          <cell r="C202" t="str">
            <v>PEDRA AZUL</v>
          </cell>
        </row>
        <row r="203">
          <cell r="C203" t="str">
            <v>PEDRA GRANDE</v>
          </cell>
        </row>
        <row r="204">
          <cell r="C204" t="str">
            <v>PEDRAS DE MARIA DA CRUZ</v>
          </cell>
        </row>
        <row r="205">
          <cell r="C205" t="str">
            <v>PEDRO VERSIANI</v>
          </cell>
        </row>
        <row r="206">
          <cell r="C206" t="str">
            <v>PINTOPOLIS</v>
          </cell>
        </row>
        <row r="207">
          <cell r="C207" t="str">
            <v>PITARANA</v>
          </cell>
        </row>
        <row r="208">
          <cell r="C208" t="str">
            <v>POAIA</v>
          </cell>
        </row>
        <row r="209">
          <cell r="C209" t="str">
            <v>PONTE DOS CIGANOS</v>
          </cell>
        </row>
        <row r="210">
          <cell r="C210" t="str">
            <v>PONTO DO MARAMBAIA</v>
          </cell>
        </row>
        <row r="211">
          <cell r="C211" t="str">
            <v>PONTO DOS VOLANTES</v>
          </cell>
        </row>
        <row r="212">
          <cell r="C212" t="str">
            <v>PORTEIRINHA</v>
          </cell>
        </row>
        <row r="213">
          <cell r="C213" t="str">
            <v>PORTO AGRARIO</v>
          </cell>
        </row>
        <row r="214">
          <cell r="C214" t="str">
            <v>POTE</v>
          </cell>
        </row>
        <row r="215">
          <cell r="C215" t="str">
            <v>PRESIDENTE PENA</v>
          </cell>
        </row>
        <row r="216">
          <cell r="C216" t="str">
            <v>QUEIXADA</v>
          </cell>
        </row>
        <row r="217">
          <cell r="C217" t="str">
            <v>QUEMQUEM</v>
          </cell>
        </row>
        <row r="218">
          <cell r="C218" t="str">
            <v>RIACHINHO</v>
          </cell>
        </row>
        <row r="219">
          <cell r="C219" t="str">
            <v>RIACHO DA CRUZ</v>
          </cell>
        </row>
        <row r="220">
          <cell r="C220" t="str">
            <v>RIACHO DOS MACHADOS</v>
          </cell>
        </row>
        <row r="221">
          <cell r="C221" t="str">
            <v>RIO DO PRADO</v>
          </cell>
        </row>
        <row r="222">
          <cell r="C222" t="str">
            <v>RIO PARDO DE MINAS</v>
          </cell>
        </row>
        <row r="223">
          <cell r="C223" t="str">
            <v>RIO PRETINHO</v>
          </cell>
        </row>
        <row r="224">
          <cell r="C224" t="str">
            <v>RUBELITA</v>
          </cell>
        </row>
        <row r="225">
          <cell r="C225" t="str">
            <v>RUBIM</v>
          </cell>
        </row>
        <row r="226">
          <cell r="C226" t="str">
            <v>SALINAS</v>
          </cell>
        </row>
        <row r="227">
          <cell r="C227" t="str">
            <v>SALTO DA DIVISA</v>
          </cell>
        </row>
        <row r="228">
          <cell r="C228" t="str">
            <v>SANTA CRUZ DE BOTUMIRIM</v>
          </cell>
        </row>
        <row r="229">
          <cell r="C229" t="str">
            <v>SANTA CRUZ DE SALINAS</v>
          </cell>
        </row>
        <row r="230">
          <cell r="C230" t="str">
            <v>SANTA DA PEDRA</v>
          </cell>
        </row>
        <row r="231">
          <cell r="C231" t="str">
            <v>SANTA HELENA DE MINAS</v>
          </cell>
        </row>
        <row r="232">
          <cell r="C232" t="str">
            <v>SANTA MARIA DO SALTO</v>
          </cell>
        </row>
        <row r="233">
          <cell r="C233" t="str">
            <v>SANTA MARIA DO SUACUI</v>
          </cell>
        </row>
        <row r="234">
          <cell r="C234" t="str">
            <v>SANTA ROSA DE LIMA</v>
          </cell>
        </row>
        <row r="235">
          <cell r="C235" t="str">
            <v>SANTANA DO ARACUAI</v>
          </cell>
        </row>
        <row r="236">
          <cell r="C236" t="str">
            <v>SANTO ANTONIO DA BOA VISTA</v>
          </cell>
        </row>
        <row r="237">
          <cell r="C237" t="str">
            <v>SANTO ANTONIO DO JACINTO</v>
          </cell>
        </row>
        <row r="238">
          <cell r="C238" t="str">
            <v>SANTO ANTONIO DO MUCURI</v>
          </cell>
        </row>
        <row r="239">
          <cell r="C239" t="str">
            <v>SANTO ANTONIO DO RETIRO</v>
          </cell>
        </row>
        <row r="240">
          <cell r="C240" t="str">
            <v>SANTO ANTONIO DOS ARAUJOS</v>
          </cell>
        </row>
        <row r="241">
          <cell r="C241" t="str">
            <v>SAO FRANCISCO</v>
          </cell>
        </row>
        <row r="242">
          <cell r="C242" t="str">
            <v>SAO GERALDO</v>
          </cell>
        </row>
        <row r="243">
          <cell r="C243" t="str">
            <v>SAO JOAO DA LAGOA</v>
          </cell>
        </row>
        <row r="244">
          <cell r="C244" t="str">
            <v>SAO JOAO DA PONTE</v>
          </cell>
        </row>
        <row r="245">
          <cell r="C245" t="str">
            <v>SAO JOAO DA VEREDA</v>
          </cell>
        </row>
        <row r="246">
          <cell r="C246" t="str">
            <v>SAO JOAO DAS MISSOES</v>
          </cell>
        </row>
        <row r="247">
          <cell r="C247" t="str">
            <v>SAO JOAO DO BONITO</v>
          </cell>
        </row>
        <row r="248">
          <cell r="C248" t="str">
            <v>SAO JOAO DO PACUI</v>
          </cell>
        </row>
        <row r="249">
          <cell r="C249" t="str">
            <v>SAO JOAO DO PARAISO</v>
          </cell>
        </row>
        <row r="250">
          <cell r="C250" t="str">
            <v>SAO JOAQUIM</v>
          </cell>
        </row>
        <row r="251">
          <cell r="C251" t="str">
            <v>SAO PEDRO DA GARCA</v>
          </cell>
        </row>
        <row r="252">
          <cell r="C252" t="str">
            <v>SAO PEDRO DAS TABOCAS</v>
          </cell>
        </row>
        <row r="253">
          <cell r="C253" t="str">
            <v>SAO PEDRO DO JEQUITINHONHA</v>
          </cell>
        </row>
        <row r="254">
          <cell r="C254" t="str">
            <v>SAO ROBERTO</v>
          </cell>
        </row>
        <row r="255">
          <cell r="C255" t="str">
            <v>SAO ROMAO</v>
          </cell>
        </row>
        <row r="256">
          <cell r="C256" t="str">
            <v>SAO SEBASTIAO DO MARANHAO</v>
          </cell>
        </row>
        <row r="257">
          <cell r="C257" t="str">
            <v>SAO SEBASTIAO DOS POCOES</v>
          </cell>
        </row>
        <row r="258">
          <cell r="C258" t="str">
            <v>SERRA DAS ARARAS</v>
          </cell>
        </row>
        <row r="259">
          <cell r="C259" t="str">
            <v>SERRA DOS AIMORES</v>
          </cell>
        </row>
        <row r="260">
          <cell r="C260" t="str">
            <v>SERRA NOVA</v>
          </cell>
        </row>
        <row r="261">
          <cell r="C261" t="str">
            <v>SERRANOPOLIS DE MINAS</v>
          </cell>
        </row>
        <row r="262">
          <cell r="C262" t="str">
            <v>SETUBINHA</v>
          </cell>
        </row>
        <row r="263">
          <cell r="C263" t="str">
            <v>SIMAO CAMPOS</v>
          </cell>
        </row>
        <row r="264">
          <cell r="C264" t="str">
            <v>SUCANGA</v>
          </cell>
        </row>
        <row r="265">
          <cell r="C265" t="str">
            <v>TAIOBEIRAS</v>
          </cell>
        </row>
        <row r="266">
          <cell r="C266" t="str">
            <v>TEJUCO</v>
          </cell>
        </row>
        <row r="267">
          <cell r="C267" t="str">
            <v>TEOFILO OTONI</v>
          </cell>
        </row>
        <row r="268">
          <cell r="C268" t="str">
            <v>TERRA BRANCA</v>
          </cell>
        </row>
        <row r="269">
          <cell r="C269" t="str">
            <v>TOCANDIRA</v>
          </cell>
        </row>
        <row r="270">
          <cell r="C270" t="str">
            <v>TOPAZIO</v>
          </cell>
        </row>
        <row r="271">
          <cell r="C271" t="str">
            <v>TUPARECE</v>
          </cell>
        </row>
        <row r="272">
          <cell r="C272" t="str">
            <v>TURMALINA</v>
          </cell>
        </row>
        <row r="273">
          <cell r="C273" t="str">
            <v>UBAI</v>
          </cell>
        </row>
        <row r="274">
          <cell r="C274" t="str">
            <v>UMBURATIBA</v>
          </cell>
        </row>
        <row r="275">
          <cell r="C275" t="str">
            <v>UMBUZEIRO</v>
          </cell>
        </row>
        <row r="276">
          <cell r="C276" t="str">
            <v>UNAI</v>
          </cell>
        </row>
        <row r="277">
          <cell r="C277" t="str">
            <v>URUANA DE MINAS</v>
          </cell>
        </row>
        <row r="278">
          <cell r="C278" t="str">
            <v>URUCUIA</v>
          </cell>
        </row>
        <row r="279">
          <cell r="C279" t="str">
            <v>VALAO</v>
          </cell>
        </row>
        <row r="280">
          <cell r="C280" t="str">
            <v>VARGEM GRANDE DO RIO PARDO</v>
          </cell>
        </row>
        <row r="281">
          <cell r="C281" t="str">
            <v>VARZELANDIA</v>
          </cell>
        </row>
        <row r="282">
          <cell r="C282" t="str">
            <v>VERDELANDIA</v>
          </cell>
        </row>
        <row r="283">
          <cell r="C283" t="str">
            <v>VEREDA DO PARAISO</v>
          </cell>
        </row>
        <row r="284">
          <cell r="C284" t="str">
            <v>VEREDINHA</v>
          </cell>
        </row>
        <row r="285">
          <cell r="C285" t="str">
            <v>VILA NOVA DE MINAS</v>
          </cell>
        </row>
        <row r="286">
          <cell r="C286" t="str">
            <v>VILA NOVA DOS POCOES</v>
          </cell>
        </row>
        <row r="287">
          <cell r="C287" t="str">
            <v>VILA PEREIRA</v>
          </cell>
        </row>
        <row r="288">
          <cell r="C288" t="str">
            <v>VIRGEM DA LAPA</v>
          </cell>
        </row>
        <row r="289">
          <cell r="C289" t="str">
            <v>VISTA ALEGRE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CC"/>
        </a:solidFill>
        <a:ln w="19050">
          <a:solidFill>
            <a:srgbClr val="0033CC"/>
          </a:solidFill>
        </a:ln>
      </a:spPr>
      <a:bodyPr vertOverflow="clip" horzOverflow="clip" rtlCol="0" anchor="t"/>
      <a:lstStyle>
        <a:defPPr algn="l">
          <a:defRPr sz="1100" b="1">
            <a:solidFill>
              <a:srgbClr val="0033CC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bg1"/>
        </a:solidFill>
        <a:ln w="3175" cmpd="sng">
          <a:solidFill>
            <a:schemeClr val="bg1">
              <a:lumMod val="85000"/>
            </a:schemeClr>
          </a:solidFill>
        </a:ln>
      </a:spPr>
      <a:bodyPr vertOverflow="clip" horzOverflow="clip" wrap="square" rtlCol="0" anchor="ctr"/>
      <a:lstStyle>
        <a:defPPr marL="0" indent="0">
          <a:defRPr sz="1100" b="1" i="0" u="none" strike="noStrike">
            <a:solidFill>
              <a:srgbClr val="000000"/>
            </a:solidFill>
            <a:latin typeface="Calibri"/>
            <a:ea typeface="+mn-ea"/>
            <a:cs typeface="Calibri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atrus-my.sharepoint.com/:x:/g/personal/jamilleribeiro_patrus_com_br/Ef9gqRviLEdPjFJ3QDepeqEBFHwT0GVzaM0nfgvu4Uf8hQ?e=AZJ4Y0" TargetMode="External"/><Relationship Id="rId1" Type="http://schemas.openxmlformats.org/officeDocument/2006/relationships/hyperlink" Target="https://patrus-my.sharepoint.com/:x:/g/personal/jamilleribeiro_patrus_com_br/Ef9gqRviLEdPjFJ3QDepeqEBFHwT0GVzaM0nfgvu4Uf8hQ?e=AZJ4Y0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A873-122B-4734-A7DC-5552EFCC3000}">
  <sheetPr codeName="Planilha11">
    <tabColor rgb="FFC60C35"/>
    <pageSetUpPr fitToPage="1"/>
  </sheetPr>
  <dimension ref="A1:AP118"/>
  <sheetViews>
    <sheetView showGridLines="0" topLeftCell="A10" zoomScaleNormal="100" workbookViewId="0">
      <selection activeCell="AK2" sqref="AK2"/>
    </sheetView>
  </sheetViews>
  <sheetFormatPr defaultColWidth="5.85546875" defaultRowHeight="12.75" x14ac:dyDescent="0.2"/>
  <cols>
    <col min="1" max="1" width="1.7109375" style="3" customWidth="1"/>
    <col min="2" max="2" width="4.42578125" style="165" customWidth="1"/>
    <col min="3" max="3" width="27.85546875" style="3" customWidth="1"/>
    <col min="4" max="4" width="11.140625" style="3" customWidth="1"/>
    <col min="5" max="5" width="11.7109375" style="3" customWidth="1"/>
    <col min="6" max="6" width="14.28515625" style="3" customWidth="1"/>
    <col min="7" max="7" width="14.42578125" style="3" customWidth="1"/>
    <col min="8" max="8" width="13.28515625" style="3" customWidth="1"/>
    <col min="9" max="9" width="14.85546875" style="3" customWidth="1"/>
    <col min="10" max="11" width="11.28515625" style="3" customWidth="1"/>
    <col min="12" max="33" width="11.42578125" style="3" hidden="1" customWidth="1"/>
    <col min="34" max="35" width="17.7109375" style="3" customWidth="1"/>
    <col min="36" max="36" width="17.140625" style="3" customWidth="1"/>
    <col min="37" max="37" width="2.85546875" style="3" customWidth="1"/>
    <col min="38" max="38" width="2.7109375" style="3" customWidth="1"/>
    <col min="39" max="43" width="0" style="3" hidden="1" customWidth="1"/>
    <col min="44" max="16384" width="5.85546875" style="3"/>
  </cols>
  <sheetData>
    <row r="1" spans="1:38" ht="5.2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1"/>
      <c r="AL1" s="1"/>
    </row>
    <row r="2" spans="1:38" ht="35.1" customHeight="1" x14ac:dyDescent="0.2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 t="s">
        <v>0</v>
      </c>
      <c r="AK2" s="4"/>
      <c r="AL2" s="1"/>
    </row>
    <row r="3" spans="1:38" ht="3.95" customHeight="1" x14ac:dyDescent="0.2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1"/>
      <c r="AL3" s="1"/>
    </row>
    <row r="4" spans="1:38" x14ac:dyDescent="0.2">
      <c r="A4" s="1"/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8"/>
      <c r="AL4" s="1"/>
    </row>
    <row r="5" spans="1:38" x14ac:dyDescent="0.2">
      <c r="A5" s="1"/>
      <c r="B5" s="9" t="s">
        <v>5353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1"/>
      <c r="AL5" s="1"/>
    </row>
    <row r="6" spans="1:38" x14ac:dyDescent="0.2">
      <c r="A6" s="1"/>
      <c r="B6" s="9" t="s">
        <v>5354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1"/>
      <c r="AL6" s="1"/>
    </row>
    <row r="7" spans="1:38" x14ac:dyDescent="0.2">
      <c r="A7" s="1"/>
      <c r="B7" s="12"/>
      <c r="C7" s="10"/>
      <c r="D7" s="13"/>
      <c r="E7" s="13"/>
      <c r="F7" s="13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5"/>
      <c r="AI7" s="15"/>
      <c r="AJ7" s="15"/>
      <c r="AK7" s="11"/>
      <c r="AL7" s="1"/>
    </row>
    <row r="8" spans="1:38" x14ac:dyDescent="0.2">
      <c r="A8" s="1"/>
      <c r="B8" s="12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1"/>
      <c r="AL8" s="1"/>
    </row>
    <row r="9" spans="1:38" x14ac:dyDescent="0.2">
      <c r="A9" s="1"/>
      <c r="B9" s="12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6"/>
      <c r="AI9" s="16"/>
      <c r="AJ9" s="16"/>
      <c r="AK9" s="11"/>
      <c r="AL9" s="1"/>
    </row>
    <row r="10" spans="1:38" x14ac:dyDescent="0.2">
      <c r="A10" s="1"/>
      <c r="B10" s="1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1"/>
      <c r="AL10" s="1"/>
    </row>
    <row r="11" spans="1:38" x14ac:dyDescent="0.2">
      <c r="A11" s="1"/>
      <c r="B11" s="12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/>
      <c r="AL11" s="1"/>
    </row>
    <row r="12" spans="1:38" x14ac:dyDescent="0.2">
      <c r="A12" s="1"/>
      <c r="B12" s="12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1"/>
      <c r="AL12" s="1"/>
    </row>
    <row r="13" spans="1:38" x14ac:dyDescent="0.2">
      <c r="A13" s="1"/>
      <c r="B13" s="12"/>
      <c r="C13" s="10"/>
      <c r="D13" s="10"/>
      <c r="E13" s="10"/>
      <c r="F13" s="10"/>
      <c r="G13" s="10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1"/>
      <c r="AL13" s="1"/>
    </row>
    <row r="14" spans="1:38" x14ac:dyDescent="0.2">
      <c r="A14" s="1"/>
      <c r="B14" s="12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1"/>
      <c r="AL14" s="1"/>
    </row>
    <row r="15" spans="1:38" x14ac:dyDescent="0.2">
      <c r="A15" s="1"/>
      <c r="B15" s="12"/>
      <c r="C15" s="10"/>
      <c r="D15" s="17"/>
      <c r="E15" s="17"/>
      <c r="F15" s="10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1"/>
      <c r="AL15" s="1"/>
    </row>
    <row r="16" spans="1:38" x14ac:dyDescent="0.2">
      <c r="A16" s="1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20"/>
      <c r="AL16" s="1"/>
    </row>
    <row r="17" spans="1:38" ht="3.95" customHeight="1" x14ac:dyDescent="0.2">
      <c r="A17" s="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1"/>
      <c r="AL17" s="1"/>
    </row>
    <row r="18" spans="1:38" ht="15.2" customHeight="1" x14ac:dyDescent="0.2">
      <c r="A18" s="1"/>
      <c r="B18" s="22" t="s">
        <v>1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4"/>
      <c r="AL18" s="1"/>
    </row>
    <row r="19" spans="1:38" ht="3.95" customHeight="1" x14ac:dyDescent="0.2">
      <c r="A19" s="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1"/>
      <c r="AL19" s="1"/>
    </row>
    <row r="20" spans="1:38" x14ac:dyDescent="0.2">
      <c r="A20" s="1"/>
      <c r="B20" s="25"/>
      <c r="C20" s="333" t="s">
        <v>2</v>
      </c>
      <c r="D20" s="26">
        <v>1E-3</v>
      </c>
      <c r="E20" s="27">
        <v>10</v>
      </c>
      <c r="F20" s="26">
        <v>30</v>
      </c>
      <c r="G20" s="28">
        <v>40</v>
      </c>
      <c r="H20" s="29">
        <v>60</v>
      </c>
      <c r="I20" s="29">
        <v>70</v>
      </c>
      <c r="J20" s="29">
        <v>90</v>
      </c>
      <c r="K20" s="29">
        <v>100</v>
      </c>
      <c r="L20" s="29">
        <v>150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30">
        <v>0</v>
      </c>
      <c r="AH20" s="335" t="s">
        <v>5355</v>
      </c>
      <c r="AI20" s="335" t="s">
        <v>3</v>
      </c>
      <c r="AJ20" s="337" t="s">
        <v>4</v>
      </c>
      <c r="AK20" s="31"/>
      <c r="AL20" s="1"/>
    </row>
    <row r="21" spans="1:38" s="40" customFormat="1" x14ac:dyDescent="0.2">
      <c r="A21" s="1"/>
      <c r="B21" s="32"/>
      <c r="C21" s="334"/>
      <c r="D21" s="33">
        <v>10</v>
      </c>
      <c r="E21" s="34">
        <v>30</v>
      </c>
      <c r="F21" s="33">
        <v>40</v>
      </c>
      <c r="G21" s="35">
        <v>60</v>
      </c>
      <c r="H21" s="36">
        <v>70</v>
      </c>
      <c r="I21" s="36">
        <v>90</v>
      </c>
      <c r="J21" s="36">
        <v>100</v>
      </c>
      <c r="K21" s="36">
        <v>150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36">
        <v>0</v>
      </c>
      <c r="U21" s="36">
        <v>0</v>
      </c>
      <c r="V21" s="36">
        <v>0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7">
        <v>0</v>
      </c>
      <c r="AH21" s="336"/>
      <c r="AI21" s="336"/>
      <c r="AJ21" s="338"/>
      <c r="AK21" s="38"/>
      <c r="AL21" s="39"/>
    </row>
    <row r="22" spans="1:38" ht="3.95" customHeight="1" x14ac:dyDescent="0.2">
      <c r="A22" s="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2" t="s">
        <v>5355</v>
      </c>
      <c r="AI22" s="42"/>
      <c r="AJ22" s="42" t="s">
        <v>4</v>
      </c>
      <c r="AK22" s="41"/>
      <c r="AL22" s="1"/>
    </row>
    <row r="23" spans="1:38" x14ac:dyDescent="0.2">
      <c r="A23" s="1"/>
      <c r="B23" s="43"/>
      <c r="C23" s="44" t="s">
        <v>5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5"/>
      <c r="AL23" s="1"/>
    </row>
    <row r="24" spans="1:38" x14ac:dyDescent="0.2">
      <c r="A24" s="1"/>
      <c r="B24" s="339" t="s">
        <v>6</v>
      </c>
      <c r="C24" s="46" t="s">
        <v>7</v>
      </c>
      <c r="D24" s="47">
        <v>53.28</v>
      </c>
      <c r="E24" s="47">
        <v>79.930000000000007</v>
      </c>
      <c r="F24" s="47">
        <v>99.9</v>
      </c>
      <c r="G24" s="47">
        <v>127.65</v>
      </c>
      <c r="H24" s="47">
        <v>138.75</v>
      </c>
      <c r="I24" s="47">
        <v>162.06</v>
      </c>
      <c r="J24" s="47">
        <v>177.6</v>
      </c>
      <c r="K24" s="47">
        <v>274.73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7">
        <v>2.0299999999999998</v>
      </c>
      <c r="AI24" s="48">
        <v>2E-3</v>
      </c>
      <c r="AJ24" s="48">
        <v>4.4000000000000003E-3</v>
      </c>
      <c r="AK24" s="49"/>
      <c r="AL24" s="1"/>
    </row>
    <row r="25" spans="1:38" x14ac:dyDescent="0.2">
      <c r="A25" s="1"/>
      <c r="B25" s="339"/>
      <c r="C25" s="46" t="s">
        <v>8</v>
      </c>
      <c r="D25" s="47">
        <v>71.92</v>
      </c>
      <c r="E25" s="47">
        <v>107.9</v>
      </c>
      <c r="F25" s="47">
        <v>134.86000000000001</v>
      </c>
      <c r="G25" s="47">
        <v>172.33</v>
      </c>
      <c r="H25" s="47">
        <v>187.32</v>
      </c>
      <c r="I25" s="47">
        <v>218.78</v>
      </c>
      <c r="J25" s="47">
        <v>239.76</v>
      </c>
      <c r="K25" s="47">
        <v>370.88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0.74</v>
      </c>
      <c r="AI25" s="48">
        <v>2E-3</v>
      </c>
      <c r="AJ25" s="48">
        <v>5.0000000000000001E-3</v>
      </c>
      <c r="AK25" s="49"/>
      <c r="AL25" s="1"/>
    </row>
    <row r="26" spans="1:38" x14ac:dyDescent="0.2">
      <c r="A26" s="1"/>
      <c r="B26" s="339"/>
      <c r="C26" s="46" t="s">
        <v>9</v>
      </c>
      <c r="D26" s="50">
        <v>82.58</v>
      </c>
      <c r="E26" s="50">
        <v>123.88</v>
      </c>
      <c r="F26" s="50">
        <v>154.85</v>
      </c>
      <c r="G26" s="50">
        <v>197.86</v>
      </c>
      <c r="H26" s="50">
        <v>215.06</v>
      </c>
      <c r="I26" s="50">
        <v>251.19</v>
      </c>
      <c r="J26" s="50">
        <v>275.29000000000002</v>
      </c>
      <c r="K26" s="50">
        <v>425.83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3.15</v>
      </c>
      <c r="AI26" s="51">
        <v>2E-3</v>
      </c>
      <c r="AJ26" s="51">
        <v>5.0000000000000001E-3</v>
      </c>
      <c r="AK26" s="49"/>
      <c r="AL26" s="1"/>
    </row>
    <row r="27" spans="1:38" x14ac:dyDescent="0.2">
      <c r="A27" s="1"/>
      <c r="B27" s="339"/>
      <c r="C27" s="52" t="s">
        <v>10</v>
      </c>
      <c r="D27" s="53"/>
      <c r="E27" s="54" t="s">
        <v>11</v>
      </c>
      <c r="F27" s="54"/>
      <c r="G27" s="54"/>
      <c r="H27" s="54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6"/>
      <c r="AJ27" s="57"/>
      <c r="AK27" s="49"/>
      <c r="AL27" s="1"/>
    </row>
    <row r="28" spans="1:38" x14ac:dyDescent="0.2">
      <c r="A28" s="1"/>
      <c r="B28" s="339"/>
      <c r="C28" s="52" t="s">
        <v>12</v>
      </c>
      <c r="D28" s="58"/>
      <c r="E28" s="59"/>
      <c r="F28" s="59"/>
      <c r="G28" s="59"/>
      <c r="H28" s="59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1"/>
      <c r="AJ28" s="62"/>
      <c r="AK28" s="49"/>
      <c r="AL28" s="1"/>
    </row>
    <row r="29" spans="1:38" hidden="1" x14ac:dyDescent="0.2">
      <c r="A29" s="1"/>
      <c r="B29" s="339"/>
      <c r="C29" s="46" t="s">
        <v>13</v>
      </c>
      <c r="D29" s="63" t="s">
        <v>5356</v>
      </c>
      <c r="E29" s="63" t="s">
        <v>5356</v>
      </c>
      <c r="F29" s="63" t="s">
        <v>5356</v>
      </c>
      <c r="G29" s="63" t="s">
        <v>5356</v>
      </c>
      <c r="H29" s="63" t="s">
        <v>5356</v>
      </c>
      <c r="I29" s="63" t="s">
        <v>5356</v>
      </c>
      <c r="J29" s="63" t="s">
        <v>5356</v>
      </c>
      <c r="K29" s="63" t="s">
        <v>5356</v>
      </c>
      <c r="L29" s="63">
        <v>0</v>
      </c>
      <c r="M29" s="63">
        <v>0</v>
      </c>
      <c r="N29" s="63">
        <v>0</v>
      </c>
      <c r="O29" s="63">
        <v>0</v>
      </c>
      <c r="P29" s="63">
        <v>0</v>
      </c>
      <c r="Q29" s="63">
        <v>0</v>
      </c>
      <c r="R29" s="63">
        <v>0</v>
      </c>
      <c r="S29" s="63">
        <v>0</v>
      </c>
      <c r="T29" s="63">
        <v>0</v>
      </c>
      <c r="U29" s="63">
        <v>0</v>
      </c>
      <c r="V29" s="63">
        <v>0</v>
      </c>
      <c r="W29" s="63">
        <v>0</v>
      </c>
      <c r="X29" s="63">
        <v>0</v>
      </c>
      <c r="Y29" s="63">
        <v>0</v>
      </c>
      <c r="Z29" s="63">
        <v>0</v>
      </c>
      <c r="AA29" s="63">
        <v>0</v>
      </c>
      <c r="AB29" s="63">
        <v>0</v>
      </c>
      <c r="AC29" s="63">
        <v>0</v>
      </c>
      <c r="AD29" s="63">
        <v>0</v>
      </c>
      <c r="AE29" s="63">
        <v>0</v>
      </c>
      <c r="AF29" s="63">
        <v>0</v>
      </c>
      <c r="AG29" s="63">
        <v>0</v>
      </c>
      <c r="AH29" s="63" t="s">
        <v>5356</v>
      </c>
      <c r="AI29" s="64">
        <v>2E-3</v>
      </c>
      <c r="AJ29" s="64">
        <v>0</v>
      </c>
      <c r="AK29" s="49"/>
      <c r="AL29" s="1"/>
    </row>
    <row r="30" spans="1:38" x14ac:dyDescent="0.2">
      <c r="A30" s="1"/>
      <c r="B30" s="339"/>
      <c r="C30" s="46" t="s">
        <v>14</v>
      </c>
      <c r="D30" s="47">
        <v>54.99</v>
      </c>
      <c r="E30" s="47">
        <v>82.46</v>
      </c>
      <c r="F30" s="47">
        <v>103.09</v>
      </c>
      <c r="G30" s="47">
        <v>131.72999999999999</v>
      </c>
      <c r="H30" s="47">
        <v>143.16999999999999</v>
      </c>
      <c r="I30" s="47">
        <v>167.13</v>
      </c>
      <c r="J30" s="47">
        <v>183.27</v>
      </c>
      <c r="K30" s="47">
        <v>283.49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0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2.09</v>
      </c>
      <c r="AI30" s="48">
        <v>2E-3</v>
      </c>
      <c r="AJ30" s="48">
        <v>4.4000000000000003E-3</v>
      </c>
      <c r="AK30" s="49"/>
      <c r="AL30" s="1"/>
    </row>
    <row r="31" spans="1:38" x14ac:dyDescent="0.2">
      <c r="A31" s="1"/>
      <c r="B31" s="339"/>
      <c r="C31" s="46" t="s">
        <v>15</v>
      </c>
      <c r="D31" s="47">
        <v>71.47</v>
      </c>
      <c r="E31" s="47">
        <v>107.21</v>
      </c>
      <c r="F31" s="47">
        <v>134.02000000000001</v>
      </c>
      <c r="G31" s="47">
        <v>171.24</v>
      </c>
      <c r="H31" s="47">
        <v>186.14</v>
      </c>
      <c r="I31" s="47">
        <v>217.4</v>
      </c>
      <c r="J31" s="47">
        <v>238.25</v>
      </c>
      <c r="K31" s="47">
        <v>368.53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2.72</v>
      </c>
      <c r="AI31" s="48">
        <v>2E-3</v>
      </c>
      <c r="AJ31" s="48">
        <v>5.0000000000000001E-3</v>
      </c>
      <c r="AK31" s="49"/>
      <c r="AL31" s="1"/>
    </row>
    <row r="32" spans="1:38" x14ac:dyDescent="0.2">
      <c r="A32" s="1"/>
      <c r="B32" s="65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7"/>
      <c r="AL32" s="1"/>
    </row>
    <row r="33" spans="1:42" ht="3.95" customHeight="1" x14ac:dyDescent="0.2">
      <c r="A33" s="1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9"/>
      <c r="AL33" s="1"/>
    </row>
    <row r="34" spans="1:42" x14ac:dyDescent="0.2">
      <c r="A34" s="1"/>
      <c r="B34" s="70"/>
      <c r="C34" s="44" t="s">
        <v>5</v>
      </c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71"/>
      <c r="AL34" s="1"/>
    </row>
    <row r="35" spans="1:42" x14ac:dyDescent="0.2">
      <c r="A35" s="1"/>
      <c r="B35" s="340" t="s">
        <v>16</v>
      </c>
      <c r="C35" s="72" t="s">
        <v>17</v>
      </c>
      <c r="D35" s="63">
        <v>40.36</v>
      </c>
      <c r="E35" s="63">
        <v>60.53</v>
      </c>
      <c r="F35" s="63">
        <v>75.48</v>
      </c>
      <c r="G35" s="63">
        <v>96.46</v>
      </c>
      <c r="H35" s="63">
        <v>104.85</v>
      </c>
      <c r="I35" s="63">
        <v>122.46</v>
      </c>
      <c r="J35" s="63">
        <v>134.21</v>
      </c>
      <c r="K35" s="63">
        <v>206.53</v>
      </c>
      <c r="L35" s="63">
        <v>0</v>
      </c>
      <c r="M35" s="63">
        <v>0</v>
      </c>
      <c r="N35" s="63">
        <v>0</v>
      </c>
      <c r="O35" s="63">
        <v>0</v>
      </c>
      <c r="P35" s="63">
        <v>0</v>
      </c>
      <c r="Q35" s="63">
        <v>0</v>
      </c>
      <c r="R35" s="63">
        <v>0</v>
      </c>
      <c r="S35" s="63">
        <v>0</v>
      </c>
      <c r="T35" s="63">
        <v>0</v>
      </c>
      <c r="U35" s="63">
        <v>0</v>
      </c>
      <c r="V35" s="63">
        <v>0</v>
      </c>
      <c r="W35" s="63">
        <v>0</v>
      </c>
      <c r="X35" s="63">
        <v>0</v>
      </c>
      <c r="Y35" s="63">
        <v>0</v>
      </c>
      <c r="Z35" s="63">
        <v>0</v>
      </c>
      <c r="AA35" s="63">
        <v>0</v>
      </c>
      <c r="AB35" s="63">
        <v>0</v>
      </c>
      <c r="AC35" s="63">
        <v>0</v>
      </c>
      <c r="AD35" s="63">
        <v>0</v>
      </c>
      <c r="AE35" s="63">
        <v>0</v>
      </c>
      <c r="AF35" s="63">
        <v>0</v>
      </c>
      <c r="AG35" s="63">
        <v>0</v>
      </c>
      <c r="AH35" s="63">
        <v>1.51</v>
      </c>
      <c r="AI35" s="48">
        <v>2E-3</v>
      </c>
      <c r="AJ35" s="73">
        <v>3.3E-3</v>
      </c>
      <c r="AK35" s="74"/>
      <c r="AL35" s="1"/>
    </row>
    <row r="36" spans="1:42" x14ac:dyDescent="0.2">
      <c r="A36" s="1"/>
      <c r="B36" s="340"/>
      <c r="C36" s="52" t="s">
        <v>18</v>
      </c>
      <c r="D36" s="47">
        <v>48.43</v>
      </c>
      <c r="E36" s="47">
        <v>72.64</v>
      </c>
      <c r="F36" s="47">
        <v>90.59</v>
      </c>
      <c r="G36" s="47">
        <v>115.76</v>
      </c>
      <c r="H36" s="47">
        <v>125.82</v>
      </c>
      <c r="I36" s="47">
        <v>146.96</v>
      </c>
      <c r="J36" s="47">
        <v>161.04</v>
      </c>
      <c r="K36" s="47">
        <v>247.84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1.82</v>
      </c>
      <c r="AI36" s="48">
        <v>2E-3</v>
      </c>
      <c r="AJ36" s="75">
        <v>4.4000000000000003E-3</v>
      </c>
      <c r="AK36" s="76"/>
      <c r="AL36" s="1"/>
    </row>
    <row r="37" spans="1:42" x14ac:dyDescent="0.2">
      <c r="A37" s="1"/>
      <c r="B37" s="340"/>
      <c r="C37" s="52" t="s">
        <v>19</v>
      </c>
      <c r="D37" s="47">
        <v>31.32</v>
      </c>
      <c r="E37" s="47">
        <v>46.99</v>
      </c>
      <c r="F37" s="47">
        <v>58.61</v>
      </c>
      <c r="G37" s="47">
        <v>74.88</v>
      </c>
      <c r="H37" s="47">
        <v>81.39</v>
      </c>
      <c r="I37" s="47">
        <v>95.06</v>
      </c>
      <c r="J37" s="47">
        <v>104.17</v>
      </c>
      <c r="K37" s="47">
        <v>160.32</v>
      </c>
      <c r="L37" s="47">
        <v>0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</v>
      </c>
      <c r="V37" s="47">
        <v>0</v>
      </c>
      <c r="W37" s="47">
        <v>0</v>
      </c>
      <c r="X37" s="47">
        <v>0</v>
      </c>
      <c r="Y37" s="47">
        <v>0</v>
      </c>
      <c r="Z37" s="47">
        <v>0</v>
      </c>
      <c r="AA37" s="47">
        <v>0</v>
      </c>
      <c r="AB37" s="47">
        <v>0</v>
      </c>
      <c r="AC37" s="47">
        <v>0</v>
      </c>
      <c r="AD37" s="47">
        <v>0</v>
      </c>
      <c r="AE37" s="47">
        <v>0</v>
      </c>
      <c r="AF37" s="47">
        <v>0</v>
      </c>
      <c r="AG37" s="47">
        <v>0</v>
      </c>
      <c r="AH37" s="47">
        <v>1.17</v>
      </c>
      <c r="AI37" s="48">
        <v>2E-3</v>
      </c>
      <c r="AJ37" s="75">
        <v>3.3E-3</v>
      </c>
      <c r="AK37" s="76"/>
      <c r="AL37" s="1"/>
    </row>
    <row r="38" spans="1:42" x14ac:dyDescent="0.2">
      <c r="A38" s="1"/>
      <c r="B38" s="340"/>
      <c r="C38" s="52" t="s">
        <v>20</v>
      </c>
      <c r="D38" s="47">
        <v>40.72</v>
      </c>
      <c r="E38" s="47">
        <v>61.09</v>
      </c>
      <c r="F38" s="47">
        <v>76.180000000000007</v>
      </c>
      <c r="G38" s="47">
        <v>97.33</v>
      </c>
      <c r="H38" s="47">
        <v>105.8</v>
      </c>
      <c r="I38" s="47">
        <v>123.57</v>
      </c>
      <c r="J38" s="47">
        <v>135.43</v>
      </c>
      <c r="K38" s="47">
        <v>208.42</v>
      </c>
      <c r="L38" s="47">
        <v>0</v>
      </c>
      <c r="M38" s="47">
        <v>0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1.53</v>
      </c>
      <c r="AI38" s="48">
        <v>2E-3</v>
      </c>
      <c r="AJ38" s="75">
        <v>3.8999999999999998E-3</v>
      </c>
      <c r="AK38" s="76"/>
      <c r="AL38" s="1"/>
    </row>
    <row r="39" spans="1:42" x14ac:dyDescent="0.2">
      <c r="A39" s="1"/>
      <c r="B39" s="340"/>
      <c r="C39" s="52" t="s">
        <v>21</v>
      </c>
      <c r="D39" s="47">
        <v>46.99</v>
      </c>
      <c r="E39" s="47">
        <v>70.489999999999995</v>
      </c>
      <c r="F39" s="47">
        <v>87.9</v>
      </c>
      <c r="G39" s="47">
        <v>112.32</v>
      </c>
      <c r="H39" s="47">
        <v>122.08</v>
      </c>
      <c r="I39" s="47">
        <v>142.59</v>
      </c>
      <c r="J39" s="47">
        <v>156.27000000000001</v>
      </c>
      <c r="K39" s="47">
        <v>240.48</v>
      </c>
      <c r="L39" s="47">
        <v>0</v>
      </c>
      <c r="M39" s="47">
        <v>0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v>0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</v>
      </c>
      <c r="AD39" s="47">
        <v>0</v>
      </c>
      <c r="AE39" s="47">
        <v>0</v>
      </c>
      <c r="AF39" s="47">
        <v>0</v>
      </c>
      <c r="AG39" s="47">
        <v>0</v>
      </c>
      <c r="AH39" s="47">
        <v>1.76</v>
      </c>
      <c r="AI39" s="48">
        <v>2E-3</v>
      </c>
      <c r="AJ39" s="75">
        <v>3.8999999999999998E-3</v>
      </c>
      <c r="AK39" s="76"/>
      <c r="AL39" s="1"/>
    </row>
    <row r="40" spans="1:42" x14ac:dyDescent="0.2">
      <c r="A40" s="1"/>
      <c r="B40" s="340"/>
      <c r="C40" s="52" t="s">
        <v>22</v>
      </c>
      <c r="D40" s="47">
        <v>31.26</v>
      </c>
      <c r="E40" s="47">
        <v>46.89</v>
      </c>
      <c r="F40" s="47">
        <v>58.34</v>
      </c>
      <c r="G40" s="47">
        <v>74.55</v>
      </c>
      <c r="H40" s="47">
        <v>81.040000000000006</v>
      </c>
      <c r="I40" s="47">
        <v>94.66</v>
      </c>
      <c r="J40" s="47">
        <v>103.73</v>
      </c>
      <c r="K40" s="47">
        <v>158.88999999999999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7">
        <v>0</v>
      </c>
      <c r="AD40" s="47">
        <v>0</v>
      </c>
      <c r="AE40" s="47">
        <v>0</v>
      </c>
      <c r="AF40" s="47">
        <v>0</v>
      </c>
      <c r="AG40" s="47">
        <v>0</v>
      </c>
      <c r="AH40" s="47">
        <v>1.1599999999999999</v>
      </c>
      <c r="AI40" s="48">
        <v>2E-3</v>
      </c>
      <c r="AJ40" s="75">
        <v>3.3E-3</v>
      </c>
      <c r="AK40" s="76"/>
      <c r="AL40" s="1"/>
    </row>
    <row r="41" spans="1:42" x14ac:dyDescent="0.2">
      <c r="A41" s="1"/>
      <c r="B41" s="340"/>
      <c r="C41" s="52" t="s">
        <v>23</v>
      </c>
      <c r="D41" s="47">
        <v>37.5</v>
      </c>
      <c r="E41" s="47">
        <v>56.26</v>
      </c>
      <c r="F41" s="47">
        <v>70.02</v>
      </c>
      <c r="G41" s="47">
        <v>89.46</v>
      </c>
      <c r="H41" s="47">
        <v>97.25</v>
      </c>
      <c r="I41" s="47">
        <v>113.58</v>
      </c>
      <c r="J41" s="47">
        <v>124.48</v>
      </c>
      <c r="K41" s="47">
        <v>190.67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1.39</v>
      </c>
      <c r="AI41" s="48">
        <v>2E-3</v>
      </c>
      <c r="AJ41" s="75">
        <v>3.8999999999999998E-3</v>
      </c>
      <c r="AK41" s="76"/>
      <c r="AL41" s="1"/>
    </row>
    <row r="42" spans="1:42" x14ac:dyDescent="0.2">
      <c r="A42" s="1"/>
      <c r="B42" s="340"/>
      <c r="C42" s="52" t="s">
        <v>24</v>
      </c>
      <c r="D42" s="77"/>
      <c r="E42" s="78" t="s">
        <v>25</v>
      </c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9"/>
      <c r="AJ42" s="80"/>
      <c r="AK42" s="76"/>
      <c r="AL42" s="1"/>
    </row>
    <row r="43" spans="1:42" x14ac:dyDescent="0.2">
      <c r="A43" s="1"/>
      <c r="B43" s="340"/>
      <c r="C43" s="52" t="s">
        <v>26</v>
      </c>
      <c r="D43" s="47">
        <v>28.97</v>
      </c>
      <c r="E43" s="47">
        <v>43.45</v>
      </c>
      <c r="F43" s="47">
        <v>54.11</v>
      </c>
      <c r="G43" s="47">
        <v>69.13</v>
      </c>
      <c r="H43" s="47">
        <v>75.14</v>
      </c>
      <c r="I43" s="47">
        <v>87.77</v>
      </c>
      <c r="J43" s="47">
        <v>96.19</v>
      </c>
      <c r="K43" s="47">
        <v>147.55000000000001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1.08</v>
      </c>
      <c r="AI43" s="48">
        <v>2E-3</v>
      </c>
      <c r="AJ43" s="75">
        <v>3.8999999999999998E-3</v>
      </c>
      <c r="AK43" s="76"/>
      <c r="AL43" s="1"/>
      <c r="AP43" s="81"/>
    </row>
    <row r="44" spans="1:42" x14ac:dyDescent="0.2">
      <c r="A44" s="1"/>
      <c r="B44" s="340"/>
      <c r="C44" s="82" t="s">
        <v>27</v>
      </c>
      <c r="D44" s="83">
        <v>34.75</v>
      </c>
      <c r="E44" s="83">
        <v>52.13</v>
      </c>
      <c r="F44" s="83">
        <v>64.92</v>
      </c>
      <c r="G44" s="83">
        <v>82.96</v>
      </c>
      <c r="H44" s="83">
        <v>90.17</v>
      </c>
      <c r="I44" s="83">
        <v>105.33</v>
      </c>
      <c r="J44" s="83">
        <v>115.43</v>
      </c>
      <c r="K44" s="83">
        <v>177.06</v>
      </c>
      <c r="L44" s="83">
        <v>0</v>
      </c>
      <c r="M44" s="83">
        <v>0</v>
      </c>
      <c r="N44" s="83">
        <v>0</v>
      </c>
      <c r="O44" s="83">
        <v>0</v>
      </c>
      <c r="P44" s="83">
        <v>0</v>
      </c>
      <c r="Q44" s="83">
        <v>0</v>
      </c>
      <c r="R44" s="83">
        <v>0</v>
      </c>
      <c r="S44" s="83">
        <v>0</v>
      </c>
      <c r="T44" s="83">
        <v>0</v>
      </c>
      <c r="U44" s="83">
        <v>0</v>
      </c>
      <c r="V44" s="83">
        <v>0</v>
      </c>
      <c r="W44" s="83">
        <v>0</v>
      </c>
      <c r="X44" s="83">
        <v>0</v>
      </c>
      <c r="Y44" s="83">
        <v>0</v>
      </c>
      <c r="Z44" s="83">
        <v>0</v>
      </c>
      <c r="AA44" s="83">
        <v>0</v>
      </c>
      <c r="AB44" s="83">
        <v>0</v>
      </c>
      <c r="AC44" s="83">
        <v>0</v>
      </c>
      <c r="AD44" s="83">
        <v>0</v>
      </c>
      <c r="AE44" s="83">
        <v>0</v>
      </c>
      <c r="AF44" s="83">
        <v>0</v>
      </c>
      <c r="AG44" s="83">
        <v>0</v>
      </c>
      <c r="AH44" s="83">
        <v>1.29</v>
      </c>
      <c r="AI44" s="48">
        <v>2E-3</v>
      </c>
      <c r="AJ44" s="84">
        <v>3.8999999999999998E-3</v>
      </c>
      <c r="AK44" s="76"/>
      <c r="AL44" s="1"/>
    </row>
    <row r="45" spans="1:42" x14ac:dyDescent="0.2">
      <c r="A45" s="1"/>
      <c r="B45" s="65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7"/>
      <c r="AL45" s="1"/>
    </row>
    <row r="46" spans="1:42" s="86" customFormat="1" ht="3.95" customHeight="1" x14ac:dyDescent="0.2">
      <c r="A46" s="85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85"/>
      <c r="AL46" s="85"/>
    </row>
    <row r="47" spans="1:42" x14ac:dyDescent="0.2">
      <c r="A47" s="1"/>
      <c r="B47" s="87"/>
      <c r="C47" s="88" t="s">
        <v>5</v>
      </c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9"/>
      <c r="AL47" s="1"/>
    </row>
    <row r="48" spans="1:42" x14ac:dyDescent="0.2">
      <c r="A48" s="1"/>
      <c r="B48" s="329" t="s">
        <v>28</v>
      </c>
      <c r="C48" s="90" t="s">
        <v>29</v>
      </c>
      <c r="D48" s="91">
        <v>32.799999999999997</v>
      </c>
      <c r="E48" s="91">
        <v>49.19</v>
      </c>
      <c r="F48" s="91">
        <v>61.32</v>
      </c>
      <c r="G48" s="91">
        <v>78.34</v>
      </c>
      <c r="H48" s="91">
        <v>85.16</v>
      </c>
      <c r="I48" s="91">
        <v>99.46</v>
      </c>
      <c r="J48" s="91">
        <v>109.01</v>
      </c>
      <c r="K48" s="91">
        <v>167.63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0</v>
      </c>
      <c r="U48" s="91">
        <v>0</v>
      </c>
      <c r="V48" s="91">
        <v>0</v>
      </c>
      <c r="W48" s="91">
        <v>0</v>
      </c>
      <c r="X48" s="91">
        <v>0</v>
      </c>
      <c r="Y48" s="91">
        <v>0</v>
      </c>
      <c r="Z48" s="91">
        <v>0</v>
      </c>
      <c r="AA48" s="91">
        <v>0</v>
      </c>
      <c r="AB48" s="91">
        <v>0</v>
      </c>
      <c r="AC48" s="91">
        <v>0</v>
      </c>
      <c r="AD48" s="91">
        <v>0</v>
      </c>
      <c r="AE48" s="91">
        <v>0</v>
      </c>
      <c r="AF48" s="91">
        <v>0</v>
      </c>
      <c r="AG48" s="91">
        <v>0</v>
      </c>
      <c r="AH48" s="91">
        <v>1.22</v>
      </c>
      <c r="AI48" s="48">
        <v>2E-3</v>
      </c>
      <c r="AJ48" s="92">
        <v>3.3E-3</v>
      </c>
      <c r="AK48" s="93"/>
      <c r="AL48" s="1"/>
    </row>
    <row r="49" spans="1:38" x14ac:dyDescent="0.2">
      <c r="A49" s="1"/>
      <c r="B49" s="329"/>
      <c r="C49" s="94" t="s">
        <v>30</v>
      </c>
      <c r="D49" s="47">
        <v>42.63</v>
      </c>
      <c r="E49" s="47">
        <v>63.94</v>
      </c>
      <c r="F49" s="47">
        <v>79.72</v>
      </c>
      <c r="G49" s="47">
        <v>101.85</v>
      </c>
      <c r="H49" s="47">
        <v>110.71</v>
      </c>
      <c r="I49" s="47">
        <v>129.32</v>
      </c>
      <c r="J49" s="47">
        <v>141.72</v>
      </c>
      <c r="K49" s="47">
        <v>217.91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1.59</v>
      </c>
      <c r="AI49" s="48">
        <v>2E-3</v>
      </c>
      <c r="AJ49" s="95">
        <v>4.4000000000000003E-3</v>
      </c>
      <c r="AK49" s="93"/>
      <c r="AL49" s="1"/>
    </row>
    <row r="50" spans="1:38" x14ac:dyDescent="0.2">
      <c r="A50" s="1"/>
      <c r="B50" s="329"/>
      <c r="C50" s="94" t="s">
        <v>31</v>
      </c>
      <c r="D50" s="47">
        <v>34.53</v>
      </c>
      <c r="E50" s="47">
        <v>51.79</v>
      </c>
      <c r="F50" s="47">
        <v>64.739999999999995</v>
      </c>
      <c r="G50" s="47">
        <v>82.73</v>
      </c>
      <c r="H50" s="47">
        <v>89.91</v>
      </c>
      <c r="I50" s="47">
        <v>105.02</v>
      </c>
      <c r="J50" s="47">
        <v>115.1</v>
      </c>
      <c r="K50" s="47">
        <v>178.03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0</v>
      </c>
      <c r="V50" s="47">
        <v>0</v>
      </c>
      <c r="W50" s="47">
        <v>0</v>
      </c>
      <c r="X50" s="47">
        <v>0</v>
      </c>
      <c r="Y50" s="47">
        <v>0</v>
      </c>
      <c r="Z50" s="47">
        <v>0</v>
      </c>
      <c r="AA50" s="47">
        <v>0</v>
      </c>
      <c r="AB50" s="47">
        <v>0</v>
      </c>
      <c r="AC50" s="47">
        <v>0</v>
      </c>
      <c r="AD50" s="47">
        <v>0</v>
      </c>
      <c r="AE50" s="47">
        <v>0</v>
      </c>
      <c r="AF50" s="47">
        <v>0</v>
      </c>
      <c r="AG50" s="47">
        <v>0</v>
      </c>
      <c r="AH50" s="47">
        <v>1.31</v>
      </c>
      <c r="AI50" s="48">
        <v>2E-3</v>
      </c>
      <c r="AJ50" s="95">
        <v>3.3E-3</v>
      </c>
      <c r="AK50" s="93"/>
      <c r="AL50" s="1"/>
    </row>
    <row r="51" spans="1:38" x14ac:dyDescent="0.2">
      <c r="A51" s="1"/>
      <c r="B51" s="329"/>
      <c r="C51" s="94" t="s">
        <v>32</v>
      </c>
      <c r="D51" s="47">
        <v>43.16</v>
      </c>
      <c r="E51" s="47">
        <v>64.739999999999995</v>
      </c>
      <c r="F51" s="47">
        <v>80.92</v>
      </c>
      <c r="G51" s="47">
        <v>103.4</v>
      </c>
      <c r="H51" s="47">
        <v>112.39</v>
      </c>
      <c r="I51" s="47">
        <v>131.28</v>
      </c>
      <c r="J51" s="47">
        <v>143.87</v>
      </c>
      <c r="K51" s="47">
        <v>222.54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>
        <v>0</v>
      </c>
      <c r="AF51" s="47">
        <v>0</v>
      </c>
      <c r="AG51" s="47">
        <v>0</v>
      </c>
      <c r="AH51" s="47">
        <v>1.64</v>
      </c>
      <c r="AI51" s="48">
        <v>2E-3</v>
      </c>
      <c r="AJ51" s="95">
        <v>4.4000000000000003E-3</v>
      </c>
      <c r="AK51" s="93"/>
      <c r="AL51" s="1"/>
    </row>
    <row r="52" spans="1:38" x14ac:dyDescent="0.2">
      <c r="A52" s="1"/>
      <c r="B52" s="329"/>
      <c r="C52" s="94" t="s">
        <v>33</v>
      </c>
      <c r="D52" s="47">
        <v>41.37</v>
      </c>
      <c r="E52" s="47">
        <v>62.07</v>
      </c>
      <c r="F52" s="47">
        <v>77.59</v>
      </c>
      <c r="G52" s="47">
        <v>99.15</v>
      </c>
      <c r="H52" s="47">
        <v>107.76</v>
      </c>
      <c r="I52" s="47">
        <v>125.88</v>
      </c>
      <c r="J52" s="47">
        <v>137.94999999999999</v>
      </c>
      <c r="K52" s="47">
        <v>213.39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0</v>
      </c>
      <c r="V52" s="47">
        <v>0</v>
      </c>
      <c r="W52" s="47">
        <v>0</v>
      </c>
      <c r="X52" s="47">
        <v>0</v>
      </c>
      <c r="Y52" s="47">
        <v>0</v>
      </c>
      <c r="Z52" s="47">
        <v>0</v>
      </c>
      <c r="AA52" s="47">
        <v>0</v>
      </c>
      <c r="AB52" s="47">
        <v>0</v>
      </c>
      <c r="AC52" s="47">
        <v>0</v>
      </c>
      <c r="AD52" s="47">
        <v>0</v>
      </c>
      <c r="AE52" s="47">
        <v>0</v>
      </c>
      <c r="AF52" s="47">
        <v>0</v>
      </c>
      <c r="AG52" s="47">
        <v>0</v>
      </c>
      <c r="AH52" s="47">
        <v>1.58</v>
      </c>
      <c r="AI52" s="48">
        <v>2E-3</v>
      </c>
      <c r="AJ52" s="95">
        <v>3.3E-3</v>
      </c>
      <c r="AK52" s="93"/>
      <c r="AL52" s="1"/>
    </row>
    <row r="53" spans="1:38" x14ac:dyDescent="0.2">
      <c r="A53" s="1"/>
      <c r="B53" s="329"/>
      <c r="C53" s="96" t="s">
        <v>34</v>
      </c>
      <c r="D53" s="83">
        <v>53.8</v>
      </c>
      <c r="E53" s="83">
        <v>80.7</v>
      </c>
      <c r="F53" s="83">
        <v>100.87</v>
      </c>
      <c r="G53" s="83">
        <v>128.9</v>
      </c>
      <c r="H53" s="83">
        <v>140.1</v>
      </c>
      <c r="I53" s="83">
        <v>163.63</v>
      </c>
      <c r="J53" s="83">
        <v>179.32</v>
      </c>
      <c r="K53" s="83">
        <v>277.39999999999998</v>
      </c>
      <c r="L53" s="83">
        <v>0</v>
      </c>
      <c r="M53" s="83">
        <v>0</v>
      </c>
      <c r="N53" s="83">
        <v>0</v>
      </c>
      <c r="O53" s="83">
        <v>0</v>
      </c>
      <c r="P53" s="83">
        <v>0</v>
      </c>
      <c r="Q53" s="83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83">
        <v>0</v>
      </c>
      <c r="AB53" s="83">
        <v>0</v>
      </c>
      <c r="AC53" s="83">
        <v>0</v>
      </c>
      <c r="AD53" s="83">
        <v>0</v>
      </c>
      <c r="AE53" s="83">
        <v>0</v>
      </c>
      <c r="AF53" s="83">
        <v>0</v>
      </c>
      <c r="AG53" s="83">
        <v>0</v>
      </c>
      <c r="AH53" s="83">
        <v>2.0499999999999998</v>
      </c>
      <c r="AI53" s="48">
        <v>2E-3</v>
      </c>
      <c r="AJ53" s="97">
        <v>0.44</v>
      </c>
      <c r="AK53" s="93"/>
      <c r="AL53" s="1"/>
    </row>
    <row r="54" spans="1:38" x14ac:dyDescent="0.2">
      <c r="A54" s="1"/>
      <c r="B54" s="98"/>
      <c r="C54" s="99"/>
      <c r="D54" s="100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2"/>
      <c r="AI54" s="102"/>
      <c r="AJ54" s="102"/>
      <c r="AK54" s="103"/>
      <c r="AL54" s="1"/>
    </row>
    <row r="55" spans="1:38" ht="3.2" customHeight="1" x14ac:dyDescent="0.2">
      <c r="A55" s="1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"/>
      <c r="AL55" s="1"/>
    </row>
    <row r="56" spans="1:38" ht="14.25" hidden="1" customHeight="1" x14ac:dyDescent="0.2">
      <c r="A56" s="1"/>
      <c r="B56" s="105" t="s">
        <v>35</v>
      </c>
      <c r="C56" s="106"/>
      <c r="D56" s="106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8"/>
      <c r="AL56" s="1"/>
    </row>
    <row r="57" spans="1:38" s="86" customFormat="1" ht="3.2" customHeight="1" x14ac:dyDescent="0.2">
      <c r="A57" s="85"/>
      <c r="B57" s="109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85"/>
    </row>
    <row r="58" spans="1:38" s="86" customFormat="1" ht="14.25" customHeight="1" x14ac:dyDescent="0.2">
      <c r="A58" s="85"/>
      <c r="B58" s="111" t="s">
        <v>36</v>
      </c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3"/>
      <c r="AL58" s="85"/>
    </row>
    <row r="59" spans="1:38" s="86" customFormat="1" ht="3.2" customHeight="1" x14ac:dyDescent="0.2">
      <c r="A59" s="85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85"/>
    </row>
    <row r="60" spans="1:38" s="86" customFormat="1" ht="3.95" customHeight="1" x14ac:dyDescent="0.2">
      <c r="A60" s="85"/>
      <c r="B60" s="115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7"/>
      <c r="AL60" s="85"/>
    </row>
    <row r="61" spans="1:38" s="125" customFormat="1" ht="15" x14ac:dyDescent="0.25">
      <c r="A61" s="118"/>
      <c r="B61" s="119" t="s">
        <v>37</v>
      </c>
      <c r="C61" s="120"/>
      <c r="D61" s="120"/>
      <c r="E61" s="121"/>
      <c r="F61" s="120"/>
      <c r="G61" s="120"/>
      <c r="H61" s="122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4"/>
      <c r="AL61" s="118"/>
    </row>
    <row r="62" spans="1:38" s="125" customFormat="1" ht="3.95" customHeight="1" x14ac:dyDescent="0.25">
      <c r="A62" s="118"/>
      <c r="B62" s="126"/>
      <c r="C62" s="122"/>
      <c r="D62" s="122"/>
      <c r="E62" s="121"/>
      <c r="F62" s="122"/>
      <c r="G62" s="122"/>
      <c r="H62" s="15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7"/>
      <c r="AL62" s="118"/>
    </row>
    <row r="63" spans="1:38" s="125" customFormat="1" ht="15" x14ac:dyDescent="0.25">
      <c r="A63" s="118"/>
      <c r="B63" s="119" t="s">
        <v>38</v>
      </c>
      <c r="C63" s="120"/>
      <c r="D63" s="120"/>
      <c r="E63" s="121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8"/>
      <c r="AL63" s="118"/>
    </row>
    <row r="64" spans="1:38" s="125" customFormat="1" ht="3.95" customHeight="1" x14ac:dyDescent="0.25">
      <c r="A64" s="118"/>
      <c r="B64" s="126"/>
      <c r="C64" s="122"/>
      <c r="D64" s="122"/>
      <c r="E64" s="121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7"/>
      <c r="AL64" s="118"/>
    </row>
    <row r="65" spans="1:38" s="125" customFormat="1" ht="15" x14ac:dyDescent="0.25">
      <c r="A65" s="118"/>
      <c r="B65" s="129" t="s">
        <v>5357</v>
      </c>
      <c r="C65" s="120"/>
      <c r="D65" s="120"/>
      <c r="E65" s="130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2"/>
      <c r="AL65" s="118"/>
    </row>
    <row r="66" spans="1:38" s="125" customFormat="1" ht="3.95" customHeight="1" x14ac:dyDescent="0.25">
      <c r="A66" s="118"/>
      <c r="B66" s="129"/>
      <c r="C66" s="120"/>
      <c r="D66" s="120"/>
      <c r="E66" s="121"/>
      <c r="F66" s="133"/>
      <c r="G66" s="133"/>
      <c r="H66" s="122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4"/>
      <c r="AL66" s="118"/>
    </row>
    <row r="67" spans="1:38" s="125" customFormat="1" ht="15" x14ac:dyDescent="0.25">
      <c r="A67" s="118"/>
      <c r="B67" s="129" t="s">
        <v>39</v>
      </c>
      <c r="C67" s="120"/>
      <c r="D67" s="120"/>
      <c r="E67" s="121"/>
      <c r="F67" s="120"/>
      <c r="G67" s="120"/>
      <c r="H67" s="123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4"/>
      <c r="AL67" s="118"/>
    </row>
    <row r="68" spans="1:38" s="125" customFormat="1" ht="3.95" customHeight="1" x14ac:dyDescent="0.25">
      <c r="A68" s="118"/>
      <c r="B68" s="129"/>
      <c r="C68" s="120"/>
      <c r="D68" s="120"/>
      <c r="E68" s="121"/>
      <c r="F68" s="120"/>
      <c r="G68" s="120"/>
      <c r="H68" s="123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4"/>
      <c r="AL68" s="118"/>
    </row>
    <row r="69" spans="1:38" s="125" customFormat="1" ht="3.95" customHeight="1" x14ac:dyDescent="0.25">
      <c r="A69" s="118"/>
      <c r="B69" s="135"/>
      <c r="C69" s="136"/>
      <c r="D69" s="136"/>
      <c r="E69" s="121"/>
      <c r="F69" s="136"/>
      <c r="G69" s="136"/>
      <c r="H69" s="122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7"/>
      <c r="AL69" s="118"/>
    </row>
    <row r="70" spans="1:38" s="125" customFormat="1" ht="15" x14ac:dyDescent="0.25">
      <c r="A70" s="118"/>
      <c r="B70" s="129" t="s">
        <v>40</v>
      </c>
      <c r="C70" s="120"/>
      <c r="D70" s="120"/>
      <c r="E70" s="121"/>
      <c r="F70" s="138"/>
      <c r="G70" s="138"/>
      <c r="H70" s="123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  <c r="AK70" s="139"/>
      <c r="AL70" s="118"/>
    </row>
    <row r="71" spans="1:38" s="125" customFormat="1" ht="3.95" customHeight="1" x14ac:dyDescent="0.25">
      <c r="A71" s="118"/>
      <c r="B71" s="126"/>
      <c r="C71" s="122"/>
      <c r="D71" s="122"/>
      <c r="E71" s="121"/>
      <c r="F71" s="122"/>
      <c r="G71" s="122"/>
      <c r="H71" s="122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3"/>
      <c r="AI71" s="123"/>
      <c r="AJ71" s="120"/>
      <c r="AK71" s="127"/>
      <c r="AL71" s="118"/>
    </row>
    <row r="72" spans="1:38" s="125" customFormat="1" ht="15" x14ac:dyDescent="0.25">
      <c r="A72" s="118"/>
      <c r="B72" s="129" t="s">
        <v>5358</v>
      </c>
      <c r="C72" s="120"/>
      <c r="D72" s="120"/>
      <c r="E72" s="121"/>
      <c r="F72" s="120"/>
      <c r="G72" s="120"/>
      <c r="H72" s="122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40"/>
      <c r="AI72" s="140"/>
      <c r="AJ72" s="120"/>
      <c r="AK72" s="124"/>
      <c r="AL72" s="118"/>
    </row>
    <row r="73" spans="1:38" s="125" customFormat="1" ht="6" customHeight="1" x14ac:dyDescent="0.25">
      <c r="A73" s="118"/>
      <c r="B73" s="129"/>
      <c r="C73" s="120"/>
      <c r="D73" s="120"/>
      <c r="E73" s="121"/>
      <c r="F73" s="120"/>
      <c r="G73" s="120"/>
      <c r="H73" s="122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3"/>
      <c r="AI73" s="123"/>
      <c r="AJ73" s="120"/>
      <c r="AK73" s="124"/>
      <c r="AL73" s="118"/>
    </row>
    <row r="74" spans="1:38" s="125" customFormat="1" ht="15" x14ac:dyDescent="0.25">
      <c r="A74" s="118"/>
      <c r="B74" s="129" t="s">
        <v>41</v>
      </c>
      <c r="C74" s="120"/>
      <c r="D74" s="120"/>
      <c r="E74" s="121"/>
      <c r="F74" s="120"/>
      <c r="G74" s="120"/>
      <c r="H74" s="122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3"/>
      <c r="AI74" s="123"/>
      <c r="AJ74" s="120"/>
      <c r="AK74" s="124"/>
      <c r="AL74" s="118"/>
    </row>
    <row r="75" spans="1:38" s="125" customFormat="1" ht="3.2" customHeight="1" x14ac:dyDescent="0.25">
      <c r="A75" s="118"/>
      <c r="B75" s="129"/>
      <c r="C75" s="120"/>
      <c r="D75" s="120"/>
      <c r="E75" s="121"/>
      <c r="F75" s="120"/>
      <c r="G75" s="120"/>
      <c r="H75" s="122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3"/>
      <c r="AI75" s="123"/>
      <c r="AJ75" s="120"/>
      <c r="AK75" s="124"/>
      <c r="AL75" s="118"/>
    </row>
    <row r="76" spans="1:38" s="125" customFormat="1" ht="15" x14ac:dyDescent="0.25">
      <c r="A76" s="118"/>
      <c r="B76" s="129" t="s">
        <v>42</v>
      </c>
      <c r="C76" s="120"/>
      <c r="D76" s="120"/>
      <c r="E76" s="141"/>
      <c r="F76" s="120"/>
      <c r="G76" s="120"/>
      <c r="H76" s="122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3"/>
      <c r="AI76" s="123"/>
      <c r="AJ76" s="120"/>
      <c r="AK76" s="124"/>
      <c r="AL76" s="118"/>
    </row>
    <row r="77" spans="1:38" s="125" customFormat="1" ht="3.95" customHeight="1" x14ac:dyDescent="0.25">
      <c r="A77" s="118"/>
      <c r="B77" s="129"/>
      <c r="C77" s="120"/>
      <c r="D77" s="120"/>
      <c r="E77" s="121"/>
      <c r="F77" s="120"/>
      <c r="G77" s="120"/>
      <c r="H77" s="122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3"/>
      <c r="AI77" s="123"/>
      <c r="AJ77" s="120"/>
      <c r="AK77" s="124"/>
      <c r="AL77" s="118"/>
    </row>
    <row r="78" spans="1:38" s="125" customFormat="1" ht="15" x14ac:dyDescent="0.25">
      <c r="A78" s="118"/>
      <c r="B78" s="129" t="s">
        <v>5359</v>
      </c>
      <c r="C78" s="120"/>
      <c r="D78" s="120"/>
      <c r="E78" s="142"/>
      <c r="F78" s="120"/>
      <c r="G78" s="120"/>
      <c r="H78" s="122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3"/>
      <c r="AI78" s="123"/>
      <c r="AJ78" s="120"/>
      <c r="AK78" s="124"/>
      <c r="AL78" s="118"/>
    </row>
    <row r="79" spans="1:38" s="125" customFormat="1" ht="5.25" customHeight="1" x14ac:dyDescent="0.25">
      <c r="A79" s="118"/>
      <c r="B79" s="129"/>
      <c r="C79" s="120"/>
      <c r="D79" s="120"/>
      <c r="E79" s="121"/>
      <c r="F79" s="120"/>
      <c r="G79" s="120"/>
      <c r="H79" s="122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3"/>
      <c r="AI79" s="123"/>
      <c r="AJ79" s="120"/>
      <c r="AK79" s="124"/>
      <c r="AL79" s="118"/>
    </row>
    <row r="80" spans="1:38" s="125" customFormat="1" ht="15" x14ac:dyDescent="0.25">
      <c r="A80" s="118"/>
      <c r="B80" s="143" t="s">
        <v>43</v>
      </c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  <c r="AE80" s="144"/>
      <c r="AF80" s="144"/>
      <c r="AG80" s="144"/>
      <c r="AH80" s="144"/>
      <c r="AI80" s="144"/>
      <c r="AJ80" s="144"/>
      <c r="AK80" s="145"/>
      <c r="AL80" s="118"/>
    </row>
    <row r="81" spans="1:38" s="148" customFormat="1" ht="3.2" customHeight="1" x14ac:dyDescent="0.25">
      <c r="A81" s="146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  <c r="AL81" s="146"/>
    </row>
    <row r="82" spans="1:38" s="148" customFormat="1" ht="15" x14ac:dyDescent="0.25">
      <c r="A82" s="146"/>
      <c r="B82" s="149" t="s">
        <v>44</v>
      </c>
      <c r="C82" s="150"/>
      <c r="D82" s="151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3"/>
      <c r="AL82" s="146"/>
    </row>
    <row r="83" spans="1:38" s="148" customFormat="1" ht="15" x14ac:dyDescent="0.25">
      <c r="A83" s="146"/>
      <c r="B83" s="151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3"/>
      <c r="AL83" s="146"/>
    </row>
    <row r="84" spans="1:38" s="148" customFormat="1" ht="15" x14ac:dyDescent="0.25">
      <c r="A84" s="146"/>
      <c r="B84" s="151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3"/>
      <c r="AL84" s="146"/>
    </row>
    <row r="85" spans="1:38" s="148" customFormat="1" ht="15" x14ac:dyDescent="0.25">
      <c r="A85" s="146"/>
      <c r="B85" s="151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3"/>
      <c r="AL85" s="146"/>
    </row>
    <row r="86" spans="1:38" s="148" customFormat="1" ht="3.95" customHeight="1" x14ac:dyDescent="0.25">
      <c r="A86" s="146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  <c r="AH86" s="154"/>
      <c r="AI86" s="154"/>
      <c r="AJ86" s="154"/>
      <c r="AK86" s="154"/>
      <c r="AL86" s="146"/>
    </row>
    <row r="87" spans="1:38" s="148" customFormat="1" ht="15" x14ac:dyDescent="0.25">
      <c r="A87" s="146"/>
      <c r="B87" s="155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  <c r="AK87" s="157"/>
      <c r="AL87" s="146"/>
    </row>
    <row r="88" spans="1:38" s="148" customFormat="1" ht="15.95" customHeight="1" x14ac:dyDescent="0.25">
      <c r="A88" s="158"/>
      <c r="B88" s="159"/>
      <c r="C88" s="330" t="s">
        <v>5360</v>
      </c>
      <c r="D88" s="330"/>
      <c r="E88" s="123"/>
      <c r="F88" s="122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60"/>
      <c r="AL88" s="146"/>
    </row>
    <row r="89" spans="1:38" s="148" customFormat="1" ht="15" x14ac:dyDescent="0.25">
      <c r="A89" s="158"/>
      <c r="B89" s="159"/>
      <c r="C89" s="331" t="s">
        <v>103</v>
      </c>
      <c r="D89" s="331"/>
      <c r="E89" s="123"/>
      <c r="F89" s="122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60"/>
      <c r="AL89" s="146"/>
    </row>
    <row r="90" spans="1:38" s="148" customFormat="1" ht="15" x14ac:dyDescent="0.25">
      <c r="A90" s="158"/>
      <c r="B90" s="159"/>
      <c r="C90" s="332" t="s">
        <v>45</v>
      </c>
      <c r="D90" s="332"/>
      <c r="E90" s="123"/>
      <c r="F90" s="16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60"/>
      <c r="AL90" s="146"/>
    </row>
    <row r="91" spans="1:38" s="148" customFormat="1" ht="15" x14ac:dyDescent="0.25">
      <c r="A91" s="158"/>
      <c r="B91" s="162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44"/>
      <c r="AG91" s="144"/>
      <c r="AH91" s="144"/>
      <c r="AI91" s="144"/>
      <c r="AJ91" s="144"/>
      <c r="AK91" s="145"/>
      <c r="AL91" s="146"/>
    </row>
    <row r="92" spans="1:38" x14ac:dyDescent="0.2">
      <c r="A92" s="16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x14ac:dyDescent="0.2">
      <c r="A93" s="164"/>
    </row>
    <row r="94" spans="1:38" x14ac:dyDescent="0.2">
      <c r="A94" s="164"/>
      <c r="B94" s="166">
        <v>1</v>
      </c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67"/>
      <c r="AA94" s="167"/>
      <c r="AB94" s="167"/>
      <c r="AC94" s="167"/>
      <c r="AD94" s="167"/>
      <c r="AE94" s="167"/>
      <c r="AF94" s="167"/>
      <c r="AG94" s="167"/>
    </row>
    <row r="95" spans="1:38" x14ac:dyDescent="0.2">
      <c r="A95" s="164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67"/>
      <c r="AA95" s="167"/>
      <c r="AB95" s="167"/>
      <c r="AC95" s="167"/>
      <c r="AD95" s="167"/>
      <c r="AE95" s="167"/>
      <c r="AF95" s="167"/>
      <c r="AG95" s="167"/>
    </row>
    <row r="96" spans="1:38" x14ac:dyDescent="0.2">
      <c r="A96" s="164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</row>
    <row r="97" spans="1:40" x14ac:dyDescent="0.2">
      <c r="A97" s="164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67"/>
      <c r="AA97" s="167"/>
      <c r="AB97" s="167"/>
      <c r="AC97" s="167"/>
      <c r="AD97" s="167"/>
      <c r="AE97" s="167"/>
      <c r="AF97" s="167"/>
      <c r="AG97" s="167"/>
    </row>
    <row r="98" spans="1:40" x14ac:dyDescent="0.2">
      <c r="A98" s="164"/>
    </row>
    <row r="99" spans="1:40" x14ac:dyDescent="0.2">
      <c r="A99" s="164"/>
    </row>
    <row r="100" spans="1:40" x14ac:dyDescent="0.2">
      <c r="A100" s="164"/>
    </row>
    <row r="101" spans="1:40" x14ac:dyDescent="0.2">
      <c r="A101" s="164"/>
    </row>
    <row r="102" spans="1:40" x14ac:dyDescent="0.2">
      <c r="A102" s="164"/>
    </row>
    <row r="104" spans="1:40" s="165" customFormat="1" x14ac:dyDescent="0.2">
      <c r="A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 spans="1:40" s="165" customFormat="1" x14ac:dyDescent="0.2">
      <c r="A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 spans="1:40" s="165" customFormat="1" x14ac:dyDescent="0.2">
      <c r="A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 spans="1:40" s="165" customFormat="1" x14ac:dyDescent="0.2">
      <c r="A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spans="1:40" s="165" customFormat="1" x14ac:dyDescent="0.2">
      <c r="A108" s="3"/>
      <c r="C108" s="168"/>
      <c r="D108" s="168"/>
      <c r="E108" s="168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spans="1:40" x14ac:dyDescent="0.2">
      <c r="C109" s="168">
        <v>300</v>
      </c>
      <c r="D109" s="169">
        <v>4.41</v>
      </c>
      <c r="E109" s="168"/>
    </row>
    <row r="110" spans="1:40" x14ac:dyDescent="0.2">
      <c r="C110" s="168" t="s">
        <v>46</v>
      </c>
      <c r="D110" s="168" t="s">
        <v>47</v>
      </c>
      <c r="E110" s="168"/>
    </row>
    <row r="111" spans="1:40" x14ac:dyDescent="0.2">
      <c r="C111" s="168"/>
      <c r="D111" s="168"/>
      <c r="E111" s="168"/>
    </row>
    <row r="112" spans="1:40" x14ac:dyDescent="0.2">
      <c r="D112" s="170"/>
    </row>
    <row r="113" spans="2:4" x14ac:dyDescent="0.2">
      <c r="D113" s="170"/>
    </row>
    <row r="114" spans="2:4" x14ac:dyDescent="0.2">
      <c r="D114" s="170"/>
    </row>
    <row r="115" spans="2:4" x14ac:dyDescent="0.2">
      <c r="D115" s="170"/>
    </row>
    <row r="118" spans="2:4" s="170" customFormat="1" x14ac:dyDescent="0.2">
      <c r="B118" s="171"/>
    </row>
  </sheetData>
  <sheetProtection algorithmName="SHA-512" hashValue="xC7bktNrYqyCam7+YIv5/yjQg+TXDmFG/Uk1SK/Mj7qHRPdM5grmmGhqSKja0b9y1dKbqOMxo2hJzLIu1qgKTg==" saltValue="rBBV32yagIiPNI3xf2WfeQ==" spinCount="100000" sheet="1" objects="1" scenarios="1"/>
  <mergeCells count="10">
    <mergeCell ref="AH20:AH21"/>
    <mergeCell ref="AI20:AI21"/>
    <mergeCell ref="AJ20:AJ21"/>
    <mergeCell ref="B24:B31"/>
    <mergeCell ref="B35:B44"/>
    <mergeCell ref="B48:B53"/>
    <mergeCell ref="C88:D88"/>
    <mergeCell ref="C89:D89"/>
    <mergeCell ref="C90:D90"/>
    <mergeCell ref="C20:C21"/>
  </mergeCells>
  <conditionalFormatting sqref="D24:AJ26 D27:E27 I27:AJ28 D28 D29:AJ53">
    <cfRule type="expression" dxfId="7" priority="1">
      <formula>D24="sem neg."</formula>
    </cfRule>
  </conditionalFormatting>
  <conditionalFormatting sqref="G24">
    <cfRule type="expression" dxfId="6" priority="2">
      <formula>"$D$24:$AI$53='sem neg.'"</formula>
    </cfRule>
  </conditionalFormatting>
  <dataValidations count="2">
    <dataValidation type="list" allowBlank="1" showInputMessage="1" showErrorMessage="1" sqref="E89:F89" xr:uid="{BCF7E0D1-1368-4FB3-91DA-3DB0BA56AE77}">
      <formula1>#REF!</formula1>
    </dataValidation>
    <dataValidation type="list" errorStyle="warning" allowBlank="1" showInputMessage="1" showErrorMessage="1" sqref="D115" xr:uid="{7FE13CC3-4988-44EC-9CC4-022C806E2F80}">
      <formula1>#REF!</formula1>
    </dataValidation>
  </dataValidations>
  <pageMargins left="0.19685039370078741" right="0" top="0.19685039370078741" bottom="0.19685039370078741" header="0" footer="0"/>
  <pageSetup paperSize="9" scale="76" orientation="portrait" r:id="rId1"/>
  <headerFooter>
    <oddHeader>&amp;L&amp;"Aptos"&amp;10&amp;K008000 Classificação: Pública&amp;1#_x000D_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6" r:id="rId4" name="Button 12">
              <controlPr defaultSize="0" print="0" autoFill="0" autoPict="0" macro="[1]!Menu_Mostrar">
                <anchor>
                  <from>
                    <xdr:col>6</xdr:col>
                    <xdr:colOff>923925</xdr:colOff>
                    <xdr:row>1</xdr:row>
                    <xdr:rowOff>123825</xdr:rowOff>
                  </from>
                  <to>
                    <xdr:col>7</xdr:col>
                    <xdr:colOff>790575</xdr:colOff>
                    <xdr:row>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5" name="Button 13">
              <controlPr defaultSize="0" print="0" autoFill="0" autoPict="0" macro="[1]!Menu_Ocultar">
                <anchor>
                  <from>
                    <xdr:col>8</xdr:col>
                    <xdr:colOff>19050</xdr:colOff>
                    <xdr:row>1</xdr:row>
                    <xdr:rowOff>123825</xdr:rowOff>
                  </from>
                  <to>
                    <xdr:col>8</xdr:col>
                    <xdr:colOff>838200</xdr:colOff>
                    <xdr:row>1</xdr:row>
                    <xdr:rowOff>314325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9C88-EA6A-4030-9DED-2C90F1B6B270}">
  <sheetPr codeName="Planilha3">
    <tabColor rgb="FFFFA74F"/>
    <pageSetUpPr fitToPage="1"/>
  </sheetPr>
  <dimension ref="A1:AN120"/>
  <sheetViews>
    <sheetView showGridLines="0" zoomScaleNormal="100" workbookViewId="0">
      <selection activeCell="AL2" sqref="AL2"/>
    </sheetView>
  </sheetViews>
  <sheetFormatPr defaultColWidth="9.140625" defaultRowHeight="11.1" customHeight="1" x14ac:dyDescent="0.15"/>
  <cols>
    <col min="1" max="1" width="1.140625" style="172" customWidth="1"/>
    <col min="2" max="3" width="3.28515625" style="172" customWidth="1"/>
    <col min="4" max="4" width="17.28515625" style="172" bestFit="1" customWidth="1"/>
    <col min="5" max="12" width="3.28515625" style="172" customWidth="1"/>
    <col min="13" max="13" width="5.140625" style="172" customWidth="1"/>
    <col min="14" max="24" width="3.28515625" style="172" customWidth="1"/>
    <col min="25" max="25" width="2.7109375" style="172" customWidth="1"/>
    <col min="26" max="26" width="3.28515625" style="172" customWidth="1"/>
    <col min="27" max="35" width="2.42578125" style="172" customWidth="1"/>
    <col min="36" max="36" width="3.7109375" style="172" customWidth="1"/>
    <col min="37" max="37" width="2.42578125" style="175" customWidth="1"/>
    <col min="38" max="39" width="9.140625" style="172"/>
    <col min="40" max="40" width="9.140625" style="172" customWidth="1"/>
    <col min="41" max="16384" width="9.140625" style="172"/>
  </cols>
  <sheetData>
    <row r="1" spans="1:40" s="173" customFormat="1" ht="3.2" customHeight="1" x14ac:dyDescent="0.15">
      <c r="A1" s="172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  <c r="AK1" s="172"/>
      <c r="AN1" s="174" t="s">
        <v>48</v>
      </c>
    </row>
    <row r="2" spans="1:40" ht="30" customHeight="1" x14ac:dyDescent="0.15">
      <c r="A2" s="507"/>
      <c r="B2" s="508" t="s">
        <v>49</v>
      </c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  <c r="R2" s="508"/>
      <c r="S2" s="508"/>
      <c r="T2" s="508"/>
      <c r="U2" s="508"/>
      <c r="V2" s="508"/>
      <c r="W2" s="508"/>
      <c r="X2" s="508"/>
      <c r="Y2" s="508"/>
      <c r="Z2" s="508"/>
      <c r="AA2" s="508"/>
      <c r="AB2" s="508"/>
      <c r="AC2" s="508"/>
      <c r="AD2" s="508"/>
      <c r="AE2" s="508"/>
      <c r="AF2" s="508"/>
      <c r="AG2" s="508"/>
      <c r="AH2" s="508"/>
      <c r="AI2" s="508"/>
      <c r="AJ2" s="508"/>
      <c r="AK2" s="509"/>
    </row>
    <row r="3" spans="1:40" s="173" customFormat="1" ht="3.2" customHeight="1" x14ac:dyDescent="0.15">
      <c r="A3" s="507"/>
      <c r="B3" s="506"/>
      <c r="C3" s="506"/>
      <c r="D3" s="506"/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506"/>
      <c r="Q3" s="506"/>
      <c r="R3" s="506"/>
      <c r="S3" s="506"/>
      <c r="T3" s="506"/>
      <c r="U3" s="506"/>
      <c r="V3" s="506"/>
      <c r="W3" s="506"/>
      <c r="X3" s="506"/>
      <c r="Y3" s="506"/>
      <c r="Z3" s="506"/>
      <c r="AA3" s="506"/>
      <c r="AB3" s="506"/>
      <c r="AC3" s="506"/>
      <c r="AD3" s="506"/>
      <c r="AE3" s="506"/>
      <c r="AF3" s="506"/>
      <c r="AG3" s="506"/>
      <c r="AH3" s="506"/>
      <c r="AI3" s="506"/>
      <c r="AJ3" s="506"/>
      <c r="AK3" s="509"/>
    </row>
    <row r="4" spans="1:40" ht="12.75" customHeight="1" x14ac:dyDescent="0.15">
      <c r="A4" s="507"/>
      <c r="B4" s="510" t="s">
        <v>50</v>
      </c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 t="s">
        <v>51</v>
      </c>
      <c r="O4" s="511"/>
      <c r="P4" s="511"/>
      <c r="Q4" s="511"/>
      <c r="R4" s="511"/>
      <c r="S4" s="511"/>
      <c r="T4" s="511"/>
      <c r="U4" s="511"/>
      <c r="V4" s="511"/>
      <c r="W4" s="511"/>
      <c r="X4" s="511"/>
      <c r="Y4" s="511"/>
      <c r="Z4" s="512"/>
      <c r="AA4" s="432" t="s">
        <v>52</v>
      </c>
      <c r="AB4" s="433"/>
      <c r="AC4" s="433"/>
      <c r="AD4" s="433"/>
      <c r="AE4" s="434"/>
      <c r="AF4" s="432" t="s">
        <v>53</v>
      </c>
      <c r="AG4" s="433"/>
      <c r="AH4" s="433"/>
      <c r="AI4" s="433"/>
      <c r="AJ4" s="434"/>
      <c r="AK4" s="509"/>
      <c r="AM4" s="176"/>
    </row>
    <row r="5" spans="1:40" ht="12.75" customHeight="1" x14ac:dyDescent="0.15">
      <c r="A5" s="507"/>
      <c r="B5" s="488" t="s">
        <v>54</v>
      </c>
      <c r="C5" s="489"/>
      <c r="D5" s="489"/>
      <c r="E5" s="489"/>
      <c r="F5" s="489"/>
      <c r="G5" s="489"/>
      <c r="H5" s="489"/>
      <c r="I5" s="489"/>
      <c r="J5" s="489"/>
      <c r="K5" s="489"/>
      <c r="L5" s="489"/>
      <c r="M5" s="490"/>
      <c r="N5" s="476" t="s">
        <v>55</v>
      </c>
      <c r="O5" s="477"/>
      <c r="P5" s="477"/>
      <c r="Q5" s="477"/>
      <c r="R5" s="477"/>
      <c r="S5" s="477"/>
      <c r="T5" s="477"/>
      <c r="U5" s="477"/>
      <c r="V5" s="477"/>
      <c r="W5" s="477"/>
      <c r="X5" s="477"/>
      <c r="Y5" s="477"/>
      <c r="Z5" s="478"/>
      <c r="AA5" s="463">
        <v>5.0199999999999996</v>
      </c>
      <c r="AB5" s="463"/>
      <c r="AC5" s="463"/>
      <c r="AD5" s="463"/>
      <c r="AE5" s="463"/>
      <c r="AF5" s="504" t="s">
        <v>56</v>
      </c>
      <c r="AG5" s="504"/>
      <c r="AH5" s="504"/>
      <c r="AI5" s="504"/>
      <c r="AJ5" s="505"/>
      <c r="AK5" s="509"/>
    </row>
    <row r="6" spans="1:40" ht="12.75" customHeight="1" x14ac:dyDescent="0.15">
      <c r="A6" s="507"/>
      <c r="B6" s="491"/>
      <c r="C6" s="492"/>
      <c r="D6" s="492"/>
      <c r="E6" s="492"/>
      <c r="F6" s="492"/>
      <c r="G6" s="492"/>
      <c r="H6" s="492"/>
      <c r="I6" s="492"/>
      <c r="J6" s="492"/>
      <c r="K6" s="492"/>
      <c r="L6" s="492"/>
      <c r="M6" s="493"/>
      <c r="N6" s="482" t="s">
        <v>57</v>
      </c>
      <c r="O6" s="483"/>
      <c r="P6" s="483"/>
      <c r="Q6" s="483"/>
      <c r="R6" s="483"/>
      <c r="S6" s="483"/>
      <c r="T6" s="483"/>
      <c r="U6" s="483"/>
      <c r="V6" s="483"/>
      <c r="W6" s="483"/>
      <c r="X6" s="483"/>
      <c r="Y6" s="483"/>
      <c r="Z6" s="484"/>
      <c r="AA6" s="463">
        <v>5.0199999999999996</v>
      </c>
      <c r="AB6" s="463"/>
      <c r="AC6" s="463"/>
      <c r="AD6" s="463"/>
      <c r="AE6" s="463"/>
      <c r="AF6" s="504" t="s">
        <v>56</v>
      </c>
      <c r="AG6" s="504"/>
      <c r="AH6" s="504"/>
      <c r="AI6" s="504"/>
      <c r="AJ6" s="505"/>
      <c r="AK6" s="509"/>
    </row>
    <row r="7" spans="1:40" ht="2.25" customHeight="1" x14ac:dyDescent="0.15">
      <c r="A7" s="507"/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9"/>
      <c r="AB7" s="179"/>
      <c r="AC7" s="179"/>
      <c r="AD7" s="179"/>
      <c r="AE7" s="179"/>
      <c r="AF7" s="180"/>
      <c r="AG7" s="180"/>
      <c r="AH7" s="180"/>
      <c r="AI7" s="180"/>
      <c r="AJ7" s="180"/>
      <c r="AK7" s="509"/>
    </row>
    <row r="8" spans="1:40" ht="15.95" customHeight="1" x14ac:dyDescent="0.15">
      <c r="A8" s="507"/>
      <c r="B8" s="488" t="s">
        <v>58</v>
      </c>
      <c r="C8" s="499"/>
      <c r="D8" s="499"/>
      <c r="E8" s="499"/>
      <c r="F8" s="499"/>
      <c r="G8" s="499"/>
      <c r="H8" s="499"/>
      <c r="I8" s="499"/>
      <c r="J8" s="499"/>
      <c r="K8" s="499"/>
      <c r="L8" s="499"/>
      <c r="M8" s="500"/>
      <c r="N8" s="476" t="s">
        <v>55</v>
      </c>
      <c r="O8" s="477"/>
      <c r="P8" s="477"/>
      <c r="Q8" s="477"/>
      <c r="R8" s="477"/>
      <c r="S8" s="477"/>
      <c r="T8" s="477"/>
      <c r="U8" s="477"/>
      <c r="V8" s="477"/>
      <c r="W8" s="477"/>
      <c r="X8" s="477"/>
      <c r="Y8" s="477"/>
      <c r="Z8" s="478"/>
      <c r="AA8" s="462">
        <v>0.1109</v>
      </c>
      <c r="AB8" s="462"/>
      <c r="AC8" s="462"/>
      <c r="AD8" s="462"/>
      <c r="AE8" s="462"/>
      <c r="AF8" s="463">
        <v>22.18</v>
      </c>
      <c r="AG8" s="463"/>
      <c r="AH8" s="463"/>
      <c r="AI8" s="463"/>
      <c r="AJ8" s="463"/>
      <c r="AK8" s="509"/>
    </row>
    <row r="9" spans="1:40" ht="18.75" customHeight="1" x14ac:dyDescent="0.15">
      <c r="A9" s="507"/>
      <c r="B9" s="501"/>
      <c r="C9" s="502"/>
      <c r="D9" s="502"/>
      <c r="E9" s="502"/>
      <c r="F9" s="502"/>
      <c r="G9" s="502"/>
      <c r="H9" s="502"/>
      <c r="I9" s="502"/>
      <c r="J9" s="502"/>
      <c r="K9" s="502"/>
      <c r="L9" s="502"/>
      <c r="M9" s="503"/>
      <c r="N9" s="482" t="s">
        <v>57</v>
      </c>
      <c r="O9" s="483"/>
      <c r="P9" s="483"/>
      <c r="Q9" s="483"/>
      <c r="R9" s="483"/>
      <c r="S9" s="483"/>
      <c r="T9" s="483"/>
      <c r="U9" s="483"/>
      <c r="V9" s="483"/>
      <c r="W9" s="483"/>
      <c r="X9" s="483"/>
      <c r="Y9" s="483"/>
      <c r="Z9" s="484"/>
      <c r="AA9" s="462">
        <v>0.1109</v>
      </c>
      <c r="AB9" s="462"/>
      <c r="AC9" s="462"/>
      <c r="AD9" s="462"/>
      <c r="AE9" s="462"/>
      <c r="AF9" s="463">
        <v>22.18</v>
      </c>
      <c r="AG9" s="463"/>
      <c r="AH9" s="463"/>
      <c r="AI9" s="463"/>
      <c r="AJ9" s="463"/>
      <c r="AK9" s="509"/>
    </row>
    <row r="10" spans="1:40" ht="2.25" customHeight="1" x14ac:dyDescent="0.15">
      <c r="A10" s="507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82"/>
      <c r="AB10" s="182"/>
      <c r="AC10" s="182"/>
      <c r="AD10" s="182"/>
      <c r="AE10" s="182"/>
      <c r="AF10" s="179"/>
      <c r="AG10" s="179"/>
      <c r="AH10" s="179"/>
      <c r="AI10" s="179"/>
      <c r="AJ10" s="179"/>
      <c r="AK10" s="509"/>
    </row>
    <row r="11" spans="1:40" ht="12.75" customHeight="1" x14ac:dyDescent="0.15">
      <c r="A11" s="507"/>
      <c r="B11" s="488" t="s">
        <v>59</v>
      </c>
      <c r="C11" s="489"/>
      <c r="D11" s="489"/>
      <c r="E11" s="489"/>
      <c r="F11" s="489"/>
      <c r="G11" s="489"/>
      <c r="H11" s="489"/>
      <c r="I11" s="489"/>
      <c r="J11" s="489"/>
      <c r="K11" s="489"/>
      <c r="L11" s="489"/>
      <c r="M11" s="490"/>
      <c r="N11" s="476" t="s">
        <v>55</v>
      </c>
      <c r="O11" s="477"/>
      <c r="P11" s="477"/>
      <c r="Q11" s="477"/>
      <c r="R11" s="477"/>
      <c r="S11" s="477"/>
      <c r="T11" s="477"/>
      <c r="U11" s="477"/>
      <c r="V11" s="477"/>
      <c r="W11" s="477"/>
      <c r="X11" s="477"/>
      <c r="Y11" s="477"/>
      <c r="Z11" s="478"/>
      <c r="AA11" s="462">
        <v>0.1109</v>
      </c>
      <c r="AB11" s="462"/>
      <c r="AC11" s="462"/>
      <c r="AD11" s="462"/>
      <c r="AE11" s="462"/>
      <c r="AF11" s="463">
        <v>182.36</v>
      </c>
      <c r="AG11" s="463"/>
      <c r="AH11" s="463"/>
      <c r="AI11" s="463"/>
      <c r="AJ11" s="463"/>
      <c r="AK11" s="509"/>
    </row>
    <row r="12" spans="1:40" ht="12.75" customHeight="1" x14ac:dyDescent="0.15">
      <c r="A12" s="507"/>
      <c r="B12" s="491"/>
      <c r="C12" s="492"/>
      <c r="D12" s="492"/>
      <c r="E12" s="492"/>
      <c r="F12" s="492"/>
      <c r="G12" s="492"/>
      <c r="H12" s="492"/>
      <c r="I12" s="492"/>
      <c r="J12" s="492"/>
      <c r="K12" s="492"/>
      <c r="L12" s="492"/>
      <c r="M12" s="493"/>
      <c r="N12" s="482" t="s">
        <v>57</v>
      </c>
      <c r="O12" s="483"/>
      <c r="P12" s="483"/>
      <c r="Q12" s="483"/>
      <c r="R12" s="483"/>
      <c r="S12" s="483"/>
      <c r="T12" s="483"/>
      <c r="U12" s="483"/>
      <c r="V12" s="483"/>
      <c r="W12" s="483"/>
      <c r="X12" s="483"/>
      <c r="Y12" s="483"/>
      <c r="Z12" s="484"/>
      <c r="AA12" s="462">
        <v>0.1109</v>
      </c>
      <c r="AB12" s="462"/>
      <c r="AC12" s="462"/>
      <c r="AD12" s="462"/>
      <c r="AE12" s="462"/>
      <c r="AF12" s="463">
        <v>182.36</v>
      </c>
      <c r="AG12" s="463"/>
      <c r="AH12" s="463"/>
      <c r="AI12" s="463"/>
      <c r="AJ12" s="463"/>
      <c r="AK12" s="509"/>
    </row>
    <row r="13" spans="1:40" ht="2.25" customHeight="1" x14ac:dyDescent="0.15">
      <c r="A13" s="507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83"/>
      <c r="AB13" s="183"/>
      <c r="AC13" s="183"/>
      <c r="AD13" s="183"/>
      <c r="AE13" s="183"/>
      <c r="AF13" s="179"/>
      <c r="AG13" s="179"/>
      <c r="AH13" s="179"/>
      <c r="AI13" s="179"/>
      <c r="AJ13" s="179"/>
      <c r="AK13" s="509"/>
    </row>
    <row r="14" spans="1:40" ht="12.75" customHeight="1" x14ac:dyDescent="0.15">
      <c r="A14" s="507"/>
      <c r="B14" s="488" t="s">
        <v>60</v>
      </c>
      <c r="C14" s="489"/>
      <c r="D14" s="489"/>
      <c r="E14" s="489"/>
      <c r="F14" s="489"/>
      <c r="G14" s="489"/>
      <c r="H14" s="489"/>
      <c r="I14" s="489"/>
      <c r="J14" s="489"/>
      <c r="K14" s="489"/>
      <c r="L14" s="489"/>
      <c r="M14" s="490"/>
      <c r="N14" s="476" t="s">
        <v>55</v>
      </c>
      <c r="O14" s="477"/>
      <c r="P14" s="477"/>
      <c r="Q14" s="477"/>
      <c r="R14" s="477"/>
      <c r="S14" s="477"/>
      <c r="T14" s="477"/>
      <c r="U14" s="477"/>
      <c r="V14" s="477"/>
      <c r="W14" s="477"/>
      <c r="X14" s="477"/>
      <c r="Y14" s="477"/>
      <c r="Z14" s="478"/>
      <c r="AA14" s="462">
        <v>0.33260000000000001</v>
      </c>
      <c r="AB14" s="462"/>
      <c r="AC14" s="462"/>
      <c r="AD14" s="462"/>
      <c r="AE14" s="462"/>
      <c r="AF14" s="463">
        <v>580.16999999999996</v>
      </c>
      <c r="AG14" s="463"/>
      <c r="AH14" s="463"/>
      <c r="AI14" s="463"/>
      <c r="AJ14" s="463"/>
      <c r="AK14" s="509"/>
    </row>
    <row r="15" spans="1:40" ht="12.75" customHeight="1" x14ac:dyDescent="0.15">
      <c r="A15" s="507"/>
      <c r="B15" s="491"/>
      <c r="C15" s="492"/>
      <c r="D15" s="492"/>
      <c r="E15" s="492"/>
      <c r="F15" s="492"/>
      <c r="G15" s="492"/>
      <c r="H15" s="492"/>
      <c r="I15" s="492"/>
      <c r="J15" s="492"/>
      <c r="K15" s="492"/>
      <c r="L15" s="492"/>
      <c r="M15" s="493"/>
      <c r="N15" s="482" t="s">
        <v>57</v>
      </c>
      <c r="O15" s="483"/>
      <c r="P15" s="483"/>
      <c r="Q15" s="483"/>
      <c r="R15" s="483"/>
      <c r="S15" s="483"/>
      <c r="T15" s="483"/>
      <c r="U15" s="483"/>
      <c r="V15" s="483"/>
      <c r="W15" s="483"/>
      <c r="X15" s="483"/>
      <c r="Y15" s="483"/>
      <c r="Z15" s="484"/>
      <c r="AA15" s="462">
        <v>0.33260000000000001</v>
      </c>
      <c r="AB15" s="462"/>
      <c r="AC15" s="462"/>
      <c r="AD15" s="462"/>
      <c r="AE15" s="462"/>
      <c r="AF15" s="463">
        <v>580.16999999999996</v>
      </c>
      <c r="AG15" s="463"/>
      <c r="AH15" s="463"/>
      <c r="AI15" s="463"/>
      <c r="AJ15" s="463"/>
      <c r="AK15" s="509"/>
    </row>
    <row r="16" spans="1:40" ht="2.25" customHeight="1" x14ac:dyDescent="0.15">
      <c r="A16" s="507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82"/>
      <c r="AB16" s="182"/>
      <c r="AC16" s="182"/>
      <c r="AD16" s="182"/>
      <c r="AE16" s="182"/>
      <c r="AF16" s="179"/>
      <c r="AG16" s="179"/>
      <c r="AH16" s="179"/>
      <c r="AI16" s="179"/>
      <c r="AJ16" s="179"/>
      <c r="AK16" s="509"/>
    </row>
    <row r="17" spans="1:37" ht="12.75" customHeight="1" x14ac:dyDescent="0.15">
      <c r="A17" s="507"/>
      <c r="B17" s="488" t="s">
        <v>61</v>
      </c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90"/>
      <c r="N17" s="476" t="s">
        <v>55</v>
      </c>
      <c r="O17" s="477"/>
      <c r="P17" s="477"/>
      <c r="Q17" s="477"/>
      <c r="R17" s="477"/>
      <c r="S17" s="477"/>
      <c r="T17" s="477"/>
      <c r="U17" s="477"/>
      <c r="V17" s="477"/>
      <c r="W17" s="477"/>
      <c r="X17" s="477"/>
      <c r="Y17" s="477"/>
      <c r="Z17" s="478"/>
      <c r="AA17" s="462">
        <v>0.44350000000000001</v>
      </c>
      <c r="AB17" s="462"/>
      <c r="AC17" s="462"/>
      <c r="AD17" s="462"/>
      <c r="AE17" s="462"/>
      <c r="AF17" s="463">
        <v>1047.68</v>
      </c>
      <c r="AG17" s="463"/>
      <c r="AH17" s="463"/>
      <c r="AI17" s="463"/>
      <c r="AJ17" s="463"/>
      <c r="AK17" s="509"/>
    </row>
    <row r="18" spans="1:37" ht="12.75" customHeight="1" x14ac:dyDescent="0.15">
      <c r="A18" s="507"/>
      <c r="B18" s="491"/>
      <c r="C18" s="492"/>
      <c r="D18" s="492"/>
      <c r="E18" s="492"/>
      <c r="F18" s="492"/>
      <c r="G18" s="492"/>
      <c r="H18" s="492"/>
      <c r="I18" s="492"/>
      <c r="J18" s="492"/>
      <c r="K18" s="492"/>
      <c r="L18" s="492"/>
      <c r="M18" s="493"/>
      <c r="N18" s="482" t="s">
        <v>57</v>
      </c>
      <c r="O18" s="483"/>
      <c r="P18" s="483"/>
      <c r="Q18" s="483"/>
      <c r="R18" s="483"/>
      <c r="S18" s="483"/>
      <c r="T18" s="483"/>
      <c r="U18" s="483"/>
      <c r="V18" s="483"/>
      <c r="W18" s="483"/>
      <c r="X18" s="483"/>
      <c r="Y18" s="483"/>
      <c r="Z18" s="484"/>
      <c r="AA18" s="462">
        <v>0.44350000000000001</v>
      </c>
      <c r="AB18" s="462"/>
      <c r="AC18" s="462"/>
      <c r="AD18" s="462"/>
      <c r="AE18" s="462"/>
      <c r="AF18" s="463">
        <v>1047.68</v>
      </c>
      <c r="AG18" s="463"/>
      <c r="AH18" s="463"/>
      <c r="AI18" s="463"/>
      <c r="AJ18" s="463"/>
      <c r="AK18" s="509"/>
    </row>
    <row r="19" spans="1:37" ht="2.25" customHeight="1" x14ac:dyDescent="0.15">
      <c r="A19" s="507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84"/>
      <c r="AB19" s="184"/>
      <c r="AC19" s="184"/>
      <c r="AD19" s="184"/>
      <c r="AE19" s="184"/>
      <c r="AF19" s="185"/>
      <c r="AG19" s="185"/>
      <c r="AH19" s="185"/>
      <c r="AI19" s="185"/>
      <c r="AJ19" s="185"/>
      <c r="AK19" s="509"/>
    </row>
    <row r="20" spans="1:37" ht="12.75" customHeight="1" x14ac:dyDescent="0.15">
      <c r="A20" s="507"/>
      <c r="B20" s="488" t="s">
        <v>62</v>
      </c>
      <c r="C20" s="489"/>
      <c r="D20" s="489"/>
      <c r="E20" s="489"/>
      <c r="F20" s="489"/>
      <c r="G20" s="489"/>
      <c r="H20" s="489"/>
      <c r="I20" s="489"/>
      <c r="J20" s="489"/>
      <c r="K20" s="489"/>
      <c r="L20" s="489"/>
      <c r="M20" s="490"/>
      <c r="N20" s="476" t="s">
        <v>55</v>
      </c>
      <c r="O20" s="477"/>
      <c r="P20" s="477"/>
      <c r="Q20" s="477"/>
      <c r="R20" s="477"/>
      <c r="S20" s="477"/>
      <c r="T20" s="477"/>
      <c r="U20" s="477"/>
      <c r="V20" s="477"/>
      <c r="W20" s="477"/>
      <c r="X20" s="477"/>
      <c r="Y20" s="477"/>
      <c r="Z20" s="478"/>
      <c r="AA20" s="463">
        <v>0</v>
      </c>
      <c r="AB20" s="463"/>
      <c r="AC20" s="463"/>
      <c r="AD20" s="463"/>
      <c r="AE20" s="463"/>
      <c r="AF20" s="494" t="s">
        <v>56</v>
      </c>
      <c r="AG20" s="494"/>
      <c r="AH20" s="494"/>
      <c r="AI20" s="494"/>
      <c r="AJ20" s="495"/>
      <c r="AK20" s="509"/>
    </row>
    <row r="21" spans="1:37" ht="12.75" customHeight="1" x14ac:dyDescent="0.15">
      <c r="A21" s="507"/>
      <c r="B21" s="491"/>
      <c r="C21" s="492"/>
      <c r="D21" s="492"/>
      <c r="E21" s="492"/>
      <c r="F21" s="492"/>
      <c r="G21" s="492"/>
      <c r="H21" s="492"/>
      <c r="I21" s="492"/>
      <c r="J21" s="492"/>
      <c r="K21" s="492"/>
      <c r="L21" s="492"/>
      <c r="M21" s="493"/>
      <c r="N21" s="482" t="s">
        <v>57</v>
      </c>
      <c r="O21" s="483"/>
      <c r="P21" s="483"/>
      <c r="Q21" s="483"/>
      <c r="R21" s="483"/>
      <c r="S21" s="483"/>
      <c r="T21" s="483"/>
      <c r="U21" s="483"/>
      <c r="V21" s="483"/>
      <c r="W21" s="483"/>
      <c r="X21" s="483"/>
      <c r="Y21" s="483"/>
      <c r="Z21" s="484"/>
      <c r="AA21" s="498">
        <v>0</v>
      </c>
      <c r="AB21" s="498"/>
      <c r="AC21" s="498"/>
      <c r="AD21" s="498"/>
      <c r="AE21" s="498"/>
      <c r="AF21" s="494" t="s">
        <v>56</v>
      </c>
      <c r="AG21" s="494"/>
      <c r="AH21" s="494"/>
      <c r="AI21" s="494"/>
      <c r="AJ21" s="495"/>
      <c r="AK21" s="509"/>
    </row>
    <row r="22" spans="1:37" ht="2.25" customHeight="1" x14ac:dyDescent="0.15">
      <c r="A22" s="507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9"/>
      <c r="AB22" s="179"/>
      <c r="AC22" s="179"/>
      <c r="AD22" s="179"/>
      <c r="AE22" s="179"/>
      <c r="AF22" s="186"/>
      <c r="AG22" s="186"/>
      <c r="AH22" s="186"/>
      <c r="AI22" s="186"/>
      <c r="AJ22" s="186"/>
      <c r="AK22" s="509"/>
    </row>
    <row r="23" spans="1:37" ht="12.75" customHeight="1" x14ac:dyDescent="0.15">
      <c r="A23" s="507"/>
      <c r="B23" s="488" t="s">
        <v>63</v>
      </c>
      <c r="C23" s="489"/>
      <c r="D23" s="489"/>
      <c r="E23" s="489"/>
      <c r="F23" s="489"/>
      <c r="G23" s="489"/>
      <c r="H23" s="489"/>
      <c r="I23" s="489"/>
      <c r="J23" s="489"/>
      <c r="K23" s="489"/>
      <c r="L23" s="489"/>
      <c r="M23" s="490"/>
      <c r="N23" s="476" t="s">
        <v>55</v>
      </c>
      <c r="O23" s="477"/>
      <c r="P23" s="477"/>
      <c r="Q23" s="477"/>
      <c r="R23" s="477"/>
      <c r="S23" s="477"/>
      <c r="T23" s="477"/>
      <c r="U23" s="477"/>
      <c r="V23" s="477"/>
      <c r="W23" s="477"/>
      <c r="X23" s="477"/>
      <c r="Y23" s="477"/>
      <c r="Z23" s="478"/>
      <c r="AA23" s="463">
        <v>8.2200000000000006</v>
      </c>
      <c r="AB23" s="463"/>
      <c r="AC23" s="463"/>
      <c r="AD23" s="463"/>
      <c r="AE23" s="463"/>
      <c r="AF23" s="494" t="s">
        <v>56</v>
      </c>
      <c r="AG23" s="494"/>
      <c r="AH23" s="494"/>
      <c r="AI23" s="494"/>
      <c r="AJ23" s="495"/>
      <c r="AK23" s="509"/>
    </row>
    <row r="24" spans="1:37" ht="12.75" customHeight="1" x14ac:dyDescent="0.15">
      <c r="A24" s="507"/>
      <c r="B24" s="491"/>
      <c r="C24" s="492"/>
      <c r="D24" s="492"/>
      <c r="E24" s="492"/>
      <c r="F24" s="492"/>
      <c r="G24" s="492"/>
      <c r="H24" s="492"/>
      <c r="I24" s="492"/>
      <c r="J24" s="492"/>
      <c r="K24" s="492"/>
      <c r="L24" s="492"/>
      <c r="M24" s="493"/>
      <c r="N24" s="482" t="s">
        <v>57</v>
      </c>
      <c r="O24" s="483"/>
      <c r="P24" s="483"/>
      <c r="Q24" s="483"/>
      <c r="R24" s="483"/>
      <c r="S24" s="483"/>
      <c r="T24" s="483"/>
      <c r="U24" s="483"/>
      <c r="V24" s="483"/>
      <c r="W24" s="483"/>
      <c r="X24" s="483"/>
      <c r="Y24" s="483"/>
      <c r="Z24" s="484"/>
      <c r="AA24" s="498">
        <v>8.2200000000000006</v>
      </c>
      <c r="AB24" s="498"/>
      <c r="AC24" s="498"/>
      <c r="AD24" s="498"/>
      <c r="AE24" s="498"/>
      <c r="AF24" s="494" t="s">
        <v>56</v>
      </c>
      <c r="AG24" s="494"/>
      <c r="AH24" s="494"/>
      <c r="AI24" s="494"/>
      <c r="AJ24" s="495"/>
      <c r="AK24" s="509"/>
    </row>
    <row r="25" spans="1:37" ht="2.25" customHeight="1" x14ac:dyDescent="0.15">
      <c r="A25" s="507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9"/>
      <c r="AB25" s="179"/>
      <c r="AC25" s="179"/>
      <c r="AD25" s="179"/>
      <c r="AE25" s="179"/>
      <c r="AF25" s="186"/>
      <c r="AG25" s="186"/>
      <c r="AH25" s="186"/>
      <c r="AI25" s="186"/>
      <c r="AJ25" s="186"/>
      <c r="AK25" s="509"/>
    </row>
    <row r="26" spans="1:37" ht="12.75" customHeight="1" x14ac:dyDescent="0.15">
      <c r="A26" s="507"/>
      <c r="B26" s="470" t="s">
        <v>64</v>
      </c>
      <c r="C26" s="471"/>
      <c r="D26" s="471"/>
      <c r="E26" s="471"/>
      <c r="F26" s="471"/>
      <c r="G26" s="471"/>
      <c r="H26" s="471"/>
      <c r="I26" s="471"/>
      <c r="J26" s="471"/>
      <c r="K26" s="471"/>
      <c r="L26" s="471"/>
      <c r="M26" s="472"/>
      <c r="N26" s="476" t="s">
        <v>55</v>
      </c>
      <c r="O26" s="477"/>
      <c r="P26" s="477"/>
      <c r="Q26" s="477"/>
      <c r="R26" s="477"/>
      <c r="S26" s="477"/>
      <c r="T26" s="477"/>
      <c r="U26" s="477"/>
      <c r="V26" s="477"/>
      <c r="W26" s="477"/>
      <c r="X26" s="477"/>
      <c r="Y26" s="477"/>
      <c r="Z26" s="478"/>
      <c r="AA26" s="462">
        <v>1.6999999999999999E-3</v>
      </c>
      <c r="AB26" s="462"/>
      <c r="AC26" s="462"/>
      <c r="AD26" s="462"/>
      <c r="AE26" s="462"/>
      <c r="AF26" s="479">
        <v>7.45</v>
      </c>
      <c r="AG26" s="480"/>
      <c r="AH26" s="480"/>
      <c r="AI26" s="480"/>
      <c r="AJ26" s="481"/>
      <c r="AK26" s="509"/>
    </row>
    <row r="27" spans="1:37" ht="12.75" customHeight="1" x14ac:dyDescent="0.15">
      <c r="A27" s="507"/>
      <c r="B27" s="473"/>
      <c r="C27" s="474"/>
      <c r="D27" s="474"/>
      <c r="E27" s="474"/>
      <c r="F27" s="474"/>
      <c r="G27" s="474"/>
      <c r="H27" s="474"/>
      <c r="I27" s="474"/>
      <c r="J27" s="474"/>
      <c r="K27" s="474"/>
      <c r="L27" s="474"/>
      <c r="M27" s="475"/>
      <c r="N27" s="482" t="s">
        <v>57</v>
      </c>
      <c r="O27" s="483"/>
      <c r="P27" s="483"/>
      <c r="Q27" s="483"/>
      <c r="R27" s="483"/>
      <c r="S27" s="483"/>
      <c r="T27" s="483"/>
      <c r="U27" s="483"/>
      <c r="V27" s="483"/>
      <c r="W27" s="483"/>
      <c r="X27" s="483"/>
      <c r="Y27" s="483"/>
      <c r="Z27" s="484"/>
      <c r="AA27" s="462">
        <v>1.6999999999999999E-3</v>
      </c>
      <c r="AB27" s="462"/>
      <c r="AC27" s="462"/>
      <c r="AD27" s="462"/>
      <c r="AE27" s="462"/>
      <c r="AF27" s="485">
        <v>7.45</v>
      </c>
      <c r="AG27" s="486"/>
      <c r="AH27" s="486"/>
      <c r="AI27" s="486"/>
      <c r="AJ27" s="487"/>
      <c r="AK27" s="509"/>
    </row>
    <row r="28" spans="1:37" ht="2.25" customHeight="1" x14ac:dyDescent="0.15">
      <c r="A28" s="507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84"/>
      <c r="AB28" s="184"/>
      <c r="AC28" s="184"/>
      <c r="AD28" s="184"/>
      <c r="AE28" s="184"/>
      <c r="AF28" s="179"/>
      <c r="AG28" s="179"/>
      <c r="AH28" s="179"/>
      <c r="AI28" s="179"/>
      <c r="AJ28" s="179"/>
      <c r="AK28" s="509"/>
    </row>
    <row r="29" spans="1:37" ht="12.75" customHeight="1" x14ac:dyDescent="0.15">
      <c r="A29" s="507"/>
      <c r="B29" s="488" t="s">
        <v>65</v>
      </c>
      <c r="C29" s="489"/>
      <c r="D29" s="489"/>
      <c r="E29" s="489"/>
      <c r="F29" s="489"/>
      <c r="G29" s="489"/>
      <c r="H29" s="489"/>
      <c r="I29" s="489"/>
      <c r="J29" s="489"/>
      <c r="K29" s="489"/>
      <c r="L29" s="489"/>
      <c r="M29" s="490"/>
      <c r="N29" s="476" t="s">
        <v>55</v>
      </c>
      <c r="O29" s="477"/>
      <c r="P29" s="477"/>
      <c r="Q29" s="477"/>
      <c r="R29" s="477"/>
      <c r="S29" s="477"/>
      <c r="T29" s="477"/>
      <c r="U29" s="477"/>
      <c r="V29" s="477"/>
      <c r="W29" s="477"/>
      <c r="X29" s="477"/>
      <c r="Y29" s="477"/>
      <c r="Z29" s="478"/>
      <c r="AA29" s="494" t="s">
        <v>56</v>
      </c>
      <c r="AB29" s="494"/>
      <c r="AC29" s="494"/>
      <c r="AD29" s="494"/>
      <c r="AE29" s="495"/>
      <c r="AF29" s="496">
        <v>8.36</v>
      </c>
      <c r="AG29" s="480"/>
      <c r="AH29" s="480"/>
      <c r="AI29" s="480"/>
      <c r="AJ29" s="481"/>
      <c r="AK29" s="509"/>
    </row>
    <row r="30" spans="1:37" ht="12.75" customHeight="1" x14ac:dyDescent="0.15">
      <c r="A30" s="507"/>
      <c r="B30" s="491"/>
      <c r="C30" s="492"/>
      <c r="D30" s="492"/>
      <c r="E30" s="492"/>
      <c r="F30" s="492"/>
      <c r="G30" s="492"/>
      <c r="H30" s="492"/>
      <c r="I30" s="492"/>
      <c r="J30" s="492"/>
      <c r="K30" s="492"/>
      <c r="L30" s="492"/>
      <c r="M30" s="493"/>
      <c r="N30" s="482" t="s">
        <v>57</v>
      </c>
      <c r="O30" s="483"/>
      <c r="P30" s="483"/>
      <c r="Q30" s="483"/>
      <c r="R30" s="483"/>
      <c r="S30" s="483"/>
      <c r="T30" s="483"/>
      <c r="U30" s="483"/>
      <c r="V30" s="483"/>
      <c r="W30" s="483"/>
      <c r="X30" s="483"/>
      <c r="Y30" s="483"/>
      <c r="Z30" s="484"/>
      <c r="AA30" s="494" t="s">
        <v>56</v>
      </c>
      <c r="AB30" s="494"/>
      <c r="AC30" s="494"/>
      <c r="AD30" s="494"/>
      <c r="AE30" s="495"/>
      <c r="AF30" s="497">
        <v>8.36</v>
      </c>
      <c r="AG30" s="486"/>
      <c r="AH30" s="486"/>
      <c r="AI30" s="486"/>
      <c r="AJ30" s="487"/>
      <c r="AK30" s="509"/>
    </row>
    <row r="31" spans="1:37" ht="2.25" customHeight="1" x14ac:dyDescent="0.15">
      <c r="A31" s="507"/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88"/>
      <c r="AB31" s="188"/>
      <c r="AC31" s="188"/>
      <c r="AD31" s="188"/>
      <c r="AE31" s="188"/>
      <c r="AF31" s="179"/>
      <c r="AG31" s="179"/>
      <c r="AH31" s="179"/>
      <c r="AI31" s="179"/>
      <c r="AJ31" s="179"/>
      <c r="AK31" s="509"/>
    </row>
    <row r="32" spans="1:37" ht="12.75" customHeight="1" x14ac:dyDescent="0.15">
      <c r="A32" s="507"/>
      <c r="B32" s="470" t="s">
        <v>66</v>
      </c>
      <c r="C32" s="471"/>
      <c r="D32" s="471"/>
      <c r="E32" s="471"/>
      <c r="F32" s="471"/>
      <c r="G32" s="471"/>
      <c r="H32" s="471"/>
      <c r="I32" s="471"/>
      <c r="J32" s="471"/>
      <c r="K32" s="471"/>
      <c r="L32" s="471"/>
      <c r="M32" s="472"/>
      <c r="N32" s="476" t="s">
        <v>55</v>
      </c>
      <c r="O32" s="477"/>
      <c r="P32" s="477"/>
      <c r="Q32" s="477"/>
      <c r="R32" s="477"/>
      <c r="S32" s="477"/>
      <c r="T32" s="477"/>
      <c r="U32" s="477"/>
      <c r="V32" s="477"/>
      <c r="W32" s="477"/>
      <c r="X32" s="477"/>
      <c r="Y32" s="477"/>
      <c r="Z32" s="478"/>
      <c r="AA32" s="462" t="s">
        <v>56</v>
      </c>
      <c r="AB32" s="462"/>
      <c r="AC32" s="462"/>
      <c r="AD32" s="462"/>
      <c r="AE32" s="462"/>
      <c r="AF32" s="479">
        <v>9</v>
      </c>
      <c r="AG32" s="480"/>
      <c r="AH32" s="480"/>
      <c r="AI32" s="480"/>
      <c r="AJ32" s="481"/>
      <c r="AK32" s="509"/>
    </row>
    <row r="33" spans="1:37" ht="12.75" customHeight="1" x14ac:dyDescent="0.15">
      <c r="A33" s="507"/>
      <c r="B33" s="473"/>
      <c r="C33" s="474"/>
      <c r="D33" s="474"/>
      <c r="E33" s="474"/>
      <c r="F33" s="474"/>
      <c r="G33" s="474"/>
      <c r="H33" s="474"/>
      <c r="I33" s="474"/>
      <c r="J33" s="474"/>
      <c r="K33" s="474"/>
      <c r="L33" s="474"/>
      <c r="M33" s="475"/>
      <c r="N33" s="482" t="s">
        <v>57</v>
      </c>
      <c r="O33" s="483"/>
      <c r="P33" s="483"/>
      <c r="Q33" s="483"/>
      <c r="R33" s="483"/>
      <c r="S33" s="483"/>
      <c r="T33" s="483"/>
      <c r="U33" s="483"/>
      <c r="V33" s="483"/>
      <c r="W33" s="483"/>
      <c r="X33" s="483"/>
      <c r="Y33" s="483"/>
      <c r="Z33" s="484"/>
      <c r="AA33" s="462" t="s">
        <v>56</v>
      </c>
      <c r="AB33" s="462"/>
      <c r="AC33" s="462"/>
      <c r="AD33" s="462"/>
      <c r="AE33" s="462"/>
      <c r="AF33" s="485">
        <v>9</v>
      </c>
      <c r="AG33" s="486"/>
      <c r="AH33" s="486"/>
      <c r="AI33" s="486"/>
      <c r="AJ33" s="487"/>
      <c r="AK33" s="509"/>
    </row>
    <row r="34" spans="1:37" ht="2.25" customHeight="1" x14ac:dyDescent="0.15">
      <c r="A34" s="507"/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8"/>
      <c r="AB34" s="188"/>
      <c r="AC34" s="188"/>
      <c r="AD34" s="188"/>
      <c r="AE34" s="188"/>
      <c r="AF34" s="179"/>
      <c r="AG34" s="179"/>
      <c r="AH34" s="179"/>
      <c r="AI34" s="179"/>
      <c r="AJ34" s="179"/>
      <c r="AK34" s="509"/>
    </row>
    <row r="35" spans="1:37" ht="12.6" customHeight="1" x14ac:dyDescent="0.15">
      <c r="A35" s="507"/>
      <c r="B35" s="459" t="s">
        <v>67</v>
      </c>
      <c r="C35" s="460"/>
      <c r="D35" s="460"/>
      <c r="E35" s="460"/>
      <c r="F35" s="460"/>
      <c r="G35" s="460"/>
      <c r="H35" s="460"/>
      <c r="I35" s="460"/>
      <c r="J35" s="460"/>
      <c r="K35" s="460"/>
      <c r="L35" s="460"/>
      <c r="M35" s="460"/>
      <c r="N35" s="460"/>
      <c r="O35" s="460"/>
      <c r="P35" s="460"/>
      <c r="Q35" s="460"/>
      <c r="R35" s="460"/>
      <c r="S35" s="460"/>
      <c r="T35" s="460"/>
      <c r="U35" s="460"/>
      <c r="V35" s="460"/>
      <c r="W35" s="460"/>
      <c r="X35" s="460"/>
      <c r="Y35" s="460"/>
      <c r="Z35" s="461"/>
      <c r="AA35" s="464">
        <v>3.3E-3</v>
      </c>
      <c r="AB35" s="464"/>
      <c r="AC35" s="464"/>
      <c r="AD35" s="464"/>
      <c r="AE35" s="464"/>
      <c r="AF35" s="463">
        <v>34.74</v>
      </c>
      <c r="AG35" s="463"/>
      <c r="AH35" s="463"/>
      <c r="AI35" s="463"/>
      <c r="AJ35" s="463"/>
      <c r="AK35" s="509"/>
    </row>
    <row r="36" spans="1:37" s="173" customFormat="1" ht="12.6" customHeight="1" x14ac:dyDescent="0.15">
      <c r="A36" s="507"/>
      <c r="B36" s="465" t="s">
        <v>68</v>
      </c>
      <c r="C36" s="466"/>
      <c r="D36" s="466"/>
      <c r="E36" s="466"/>
      <c r="F36" s="466"/>
      <c r="G36" s="466"/>
      <c r="H36" s="466"/>
      <c r="I36" s="466"/>
      <c r="J36" s="466"/>
      <c r="K36" s="466"/>
      <c r="L36" s="466"/>
      <c r="M36" s="466"/>
      <c r="N36" s="466"/>
      <c r="O36" s="466"/>
      <c r="P36" s="466"/>
      <c r="Q36" s="466"/>
      <c r="R36" s="466"/>
      <c r="S36" s="466"/>
      <c r="T36" s="466"/>
      <c r="U36" s="466"/>
      <c r="V36" s="466"/>
      <c r="W36" s="466"/>
      <c r="X36" s="466"/>
      <c r="Y36" s="466"/>
      <c r="Z36" s="467"/>
      <c r="AA36" s="468">
        <v>3.3E-3</v>
      </c>
      <c r="AB36" s="468"/>
      <c r="AC36" s="468"/>
      <c r="AD36" s="468"/>
      <c r="AE36" s="468"/>
      <c r="AF36" s="469">
        <v>34.74</v>
      </c>
      <c r="AG36" s="469"/>
      <c r="AH36" s="469"/>
      <c r="AI36" s="469"/>
      <c r="AJ36" s="469"/>
      <c r="AK36" s="509"/>
    </row>
    <row r="37" spans="1:37" ht="2.1" customHeight="1" x14ac:dyDescent="0.15">
      <c r="A37" s="507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90"/>
      <c r="AB37" s="190"/>
      <c r="AC37" s="190"/>
      <c r="AD37" s="190"/>
      <c r="AE37" s="190"/>
      <c r="AF37" s="179"/>
      <c r="AG37" s="179"/>
      <c r="AH37" s="179"/>
      <c r="AI37" s="179"/>
      <c r="AJ37" s="179"/>
      <c r="AK37" s="509"/>
    </row>
    <row r="38" spans="1:37" s="173" customFormat="1" ht="12.75" customHeight="1" x14ac:dyDescent="0.15">
      <c r="A38" s="507"/>
      <c r="B38" s="454" t="s">
        <v>69</v>
      </c>
      <c r="C38" s="455"/>
      <c r="D38" s="455"/>
      <c r="E38" s="455"/>
      <c r="F38" s="455"/>
      <c r="G38" s="455"/>
      <c r="H38" s="455"/>
      <c r="I38" s="455"/>
      <c r="J38" s="455"/>
      <c r="K38" s="455"/>
      <c r="L38" s="455"/>
      <c r="M38" s="455"/>
      <c r="N38" s="455"/>
      <c r="O38" s="455"/>
      <c r="P38" s="455"/>
      <c r="Q38" s="455"/>
      <c r="R38" s="455"/>
      <c r="S38" s="455"/>
      <c r="T38" s="455"/>
      <c r="U38" s="455"/>
      <c r="V38" s="455"/>
      <c r="W38" s="455"/>
      <c r="X38" s="455"/>
      <c r="Y38" s="455"/>
      <c r="Z38" s="456"/>
      <c r="AA38" s="457">
        <v>0</v>
      </c>
      <c r="AB38" s="457"/>
      <c r="AC38" s="457"/>
      <c r="AD38" s="457"/>
      <c r="AE38" s="457"/>
      <c r="AF38" s="458">
        <v>0</v>
      </c>
      <c r="AG38" s="458"/>
      <c r="AH38" s="458"/>
      <c r="AI38" s="458"/>
      <c r="AJ38" s="458"/>
      <c r="AK38" s="509"/>
    </row>
    <row r="39" spans="1:37" s="173" customFormat="1" ht="2.25" customHeight="1" x14ac:dyDescent="0.15">
      <c r="A39" s="507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4"/>
      <c r="AB39" s="184"/>
      <c r="AC39" s="184"/>
      <c r="AD39" s="184"/>
      <c r="AE39" s="184"/>
      <c r="AF39" s="185"/>
      <c r="AG39" s="185"/>
      <c r="AH39" s="185"/>
      <c r="AI39" s="185"/>
      <c r="AJ39" s="185"/>
      <c r="AK39" s="509"/>
    </row>
    <row r="40" spans="1:37" ht="12.75" customHeight="1" x14ac:dyDescent="0.15">
      <c r="A40" s="507"/>
      <c r="B40" s="459" t="s">
        <v>70</v>
      </c>
      <c r="C40" s="460"/>
      <c r="D40" s="460"/>
      <c r="E40" s="460"/>
      <c r="F40" s="460"/>
      <c r="G40" s="460"/>
      <c r="H40" s="460"/>
      <c r="I40" s="460"/>
      <c r="J40" s="460"/>
      <c r="K40" s="460"/>
      <c r="L40" s="460"/>
      <c r="M40" s="460"/>
      <c r="N40" s="460"/>
      <c r="O40" s="460"/>
      <c r="P40" s="460"/>
      <c r="Q40" s="460"/>
      <c r="R40" s="460"/>
      <c r="S40" s="460"/>
      <c r="T40" s="460"/>
      <c r="U40" s="460"/>
      <c r="V40" s="460"/>
      <c r="W40" s="460"/>
      <c r="X40" s="460"/>
      <c r="Y40" s="460"/>
      <c r="Z40" s="461"/>
      <c r="AA40" s="462">
        <v>0.1663</v>
      </c>
      <c r="AB40" s="462"/>
      <c r="AC40" s="462"/>
      <c r="AD40" s="462"/>
      <c r="AE40" s="462"/>
      <c r="AF40" s="463">
        <v>47.93</v>
      </c>
      <c r="AG40" s="463"/>
      <c r="AH40" s="463"/>
      <c r="AI40" s="463"/>
      <c r="AJ40" s="463"/>
      <c r="AK40" s="509"/>
    </row>
    <row r="41" spans="1:37" ht="5.0999999999999996" customHeight="1" x14ac:dyDescent="0.15">
      <c r="A41" s="507"/>
      <c r="B41" s="430"/>
      <c r="C41" s="430"/>
      <c r="D41" s="430"/>
      <c r="E41" s="430"/>
      <c r="F41" s="430"/>
      <c r="G41" s="430"/>
      <c r="H41" s="430"/>
      <c r="I41" s="430"/>
      <c r="J41" s="430"/>
      <c r="K41" s="430"/>
      <c r="L41" s="430"/>
      <c r="M41" s="430"/>
      <c r="N41" s="430"/>
      <c r="O41" s="430"/>
      <c r="P41" s="430"/>
      <c r="Q41" s="430"/>
      <c r="R41" s="430"/>
      <c r="S41" s="430"/>
      <c r="T41" s="430"/>
      <c r="U41" s="430"/>
      <c r="V41" s="430"/>
      <c r="W41" s="430"/>
      <c r="X41" s="430"/>
      <c r="Y41" s="430"/>
      <c r="Z41" s="430"/>
      <c r="AA41" s="430"/>
      <c r="AB41" s="430"/>
      <c r="AC41" s="430"/>
      <c r="AD41" s="430"/>
      <c r="AE41" s="430"/>
      <c r="AF41" s="430"/>
      <c r="AG41" s="430"/>
      <c r="AH41" s="430"/>
      <c r="AI41" s="430"/>
      <c r="AJ41" s="430"/>
      <c r="AK41" s="509"/>
    </row>
    <row r="42" spans="1:37" ht="12.75" customHeight="1" x14ac:dyDescent="0.15">
      <c r="A42" s="507"/>
      <c r="B42" s="431" t="s">
        <v>71</v>
      </c>
      <c r="C42" s="431"/>
      <c r="D42" s="431"/>
      <c r="E42" s="431"/>
      <c r="F42" s="431"/>
      <c r="G42" s="431"/>
      <c r="H42" s="431"/>
      <c r="I42" s="431"/>
      <c r="J42" s="431"/>
      <c r="K42" s="431"/>
      <c r="L42" s="431"/>
      <c r="M42" s="431"/>
      <c r="N42" s="431"/>
      <c r="O42" s="431"/>
      <c r="P42" s="431"/>
      <c r="Q42" s="431"/>
      <c r="R42" s="431"/>
      <c r="S42" s="431"/>
      <c r="T42" s="431"/>
      <c r="U42" s="431"/>
      <c r="V42" s="431"/>
      <c r="W42" s="431"/>
      <c r="X42" s="431"/>
      <c r="Y42" s="431"/>
      <c r="Z42" s="431"/>
      <c r="AA42" s="432" t="s">
        <v>52</v>
      </c>
      <c r="AB42" s="433"/>
      <c r="AC42" s="433"/>
      <c r="AD42" s="433"/>
      <c r="AE42" s="434"/>
      <c r="AF42" s="432" t="s">
        <v>53</v>
      </c>
      <c r="AG42" s="433"/>
      <c r="AH42" s="433"/>
      <c r="AI42" s="433"/>
      <c r="AJ42" s="434"/>
      <c r="AK42" s="509"/>
    </row>
    <row r="43" spans="1:37" ht="12.75" customHeight="1" x14ac:dyDescent="0.15">
      <c r="A43" s="507"/>
      <c r="B43" s="435" t="s">
        <v>72</v>
      </c>
      <c r="C43" s="436"/>
      <c r="D43" s="436"/>
      <c r="E43" s="436"/>
      <c r="F43" s="436"/>
      <c r="G43" s="436"/>
      <c r="H43" s="436"/>
      <c r="I43" s="436"/>
      <c r="J43" s="436"/>
      <c r="K43" s="436"/>
      <c r="L43" s="436"/>
      <c r="M43" s="436"/>
      <c r="N43" s="436"/>
      <c r="O43" s="436"/>
      <c r="P43" s="436"/>
      <c r="Q43" s="436"/>
      <c r="R43" s="436"/>
      <c r="S43" s="436"/>
      <c r="T43" s="436"/>
      <c r="U43" s="436"/>
      <c r="V43" s="436"/>
      <c r="W43" s="436"/>
      <c r="X43" s="436"/>
      <c r="Y43" s="436"/>
      <c r="Z43" s="437"/>
      <c r="AA43" s="438" t="s">
        <v>56</v>
      </c>
      <c r="AB43" s="438"/>
      <c r="AC43" s="438"/>
      <c r="AD43" s="438"/>
      <c r="AE43" s="438"/>
      <c r="AF43" s="439">
        <v>96.84</v>
      </c>
      <c r="AG43" s="440"/>
      <c r="AH43" s="440"/>
      <c r="AI43" s="440"/>
      <c r="AJ43" s="441"/>
      <c r="AK43" s="509"/>
    </row>
    <row r="44" spans="1:37" ht="12.75" customHeight="1" x14ac:dyDescent="0.15">
      <c r="A44" s="507"/>
      <c r="B44" s="448" t="s">
        <v>73</v>
      </c>
      <c r="C44" s="449"/>
      <c r="D44" s="449"/>
      <c r="E44" s="449"/>
      <c r="F44" s="449"/>
      <c r="G44" s="449"/>
      <c r="H44" s="449"/>
      <c r="I44" s="449"/>
      <c r="J44" s="449"/>
      <c r="K44" s="449"/>
      <c r="L44" s="449"/>
      <c r="M44" s="449"/>
      <c r="N44" s="449"/>
      <c r="O44" s="449"/>
      <c r="P44" s="449"/>
      <c r="Q44" s="449"/>
      <c r="R44" s="449"/>
      <c r="S44" s="449"/>
      <c r="T44" s="449"/>
      <c r="U44" s="449"/>
      <c r="V44" s="449"/>
      <c r="W44" s="449"/>
      <c r="X44" s="449"/>
      <c r="Y44" s="449"/>
      <c r="Z44" s="450"/>
      <c r="AA44" s="438"/>
      <c r="AB44" s="438"/>
      <c r="AC44" s="438"/>
      <c r="AD44" s="438"/>
      <c r="AE44" s="438"/>
      <c r="AF44" s="442"/>
      <c r="AG44" s="443"/>
      <c r="AH44" s="443"/>
      <c r="AI44" s="443"/>
      <c r="AJ44" s="444"/>
      <c r="AK44" s="509"/>
    </row>
    <row r="45" spans="1:37" ht="12.75" customHeight="1" x14ac:dyDescent="0.15">
      <c r="A45" s="507"/>
      <c r="B45" s="451"/>
      <c r="C45" s="452"/>
      <c r="D45" s="452"/>
      <c r="E45" s="452"/>
      <c r="F45" s="452"/>
      <c r="G45" s="452"/>
      <c r="H45" s="452"/>
      <c r="I45" s="452"/>
      <c r="J45" s="452"/>
      <c r="K45" s="452"/>
      <c r="L45" s="452"/>
      <c r="M45" s="452"/>
      <c r="N45" s="452"/>
      <c r="O45" s="452"/>
      <c r="P45" s="452"/>
      <c r="Q45" s="452"/>
      <c r="R45" s="452"/>
      <c r="S45" s="452"/>
      <c r="T45" s="452"/>
      <c r="U45" s="452"/>
      <c r="V45" s="452"/>
      <c r="W45" s="452"/>
      <c r="X45" s="452"/>
      <c r="Y45" s="452"/>
      <c r="Z45" s="453"/>
      <c r="AA45" s="438"/>
      <c r="AB45" s="438"/>
      <c r="AC45" s="438"/>
      <c r="AD45" s="438"/>
      <c r="AE45" s="438"/>
      <c r="AF45" s="445"/>
      <c r="AG45" s="446"/>
      <c r="AH45" s="446"/>
      <c r="AI45" s="446"/>
      <c r="AJ45" s="447"/>
      <c r="AK45" s="509"/>
    </row>
    <row r="46" spans="1:37" ht="12.75" customHeight="1" x14ac:dyDescent="0.15">
      <c r="A46" s="507"/>
      <c r="B46" s="402" t="s">
        <v>74</v>
      </c>
      <c r="C46" s="403"/>
      <c r="D46" s="403"/>
      <c r="E46" s="403"/>
      <c r="F46" s="403"/>
      <c r="G46" s="403"/>
      <c r="H46" s="403"/>
      <c r="I46" s="403"/>
      <c r="J46" s="403"/>
      <c r="K46" s="403"/>
      <c r="L46" s="403"/>
      <c r="M46" s="403"/>
      <c r="N46" s="403"/>
      <c r="O46" s="403"/>
      <c r="P46" s="403"/>
      <c r="Q46" s="403"/>
      <c r="R46" s="403"/>
      <c r="S46" s="403"/>
      <c r="T46" s="403"/>
      <c r="U46" s="403"/>
      <c r="V46" s="403"/>
      <c r="W46" s="403"/>
      <c r="X46" s="403"/>
      <c r="Y46" s="403"/>
      <c r="Z46" s="404"/>
      <c r="AA46" s="405">
        <v>4.7600000000000003E-2</v>
      </c>
      <c r="AB46" s="405"/>
      <c r="AC46" s="405"/>
      <c r="AD46" s="405"/>
      <c r="AE46" s="405"/>
      <c r="AF46" s="406">
        <v>10.87</v>
      </c>
      <c r="AG46" s="407"/>
      <c r="AH46" s="407"/>
      <c r="AI46" s="407"/>
      <c r="AJ46" s="408"/>
      <c r="AK46" s="509"/>
    </row>
    <row r="47" spans="1:37" ht="21.2" customHeight="1" x14ac:dyDescent="0.15">
      <c r="A47" s="507"/>
      <c r="B47" s="415" t="s">
        <v>75</v>
      </c>
      <c r="C47" s="416"/>
      <c r="D47" s="416"/>
      <c r="E47" s="416"/>
      <c r="F47" s="416"/>
      <c r="G47" s="416"/>
      <c r="H47" s="416"/>
      <c r="I47" s="416"/>
      <c r="J47" s="416"/>
      <c r="K47" s="416"/>
      <c r="L47" s="416"/>
      <c r="M47" s="416"/>
      <c r="N47" s="416"/>
      <c r="O47" s="416"/>
      <c r="P47" s="416"/>
      <c r="Q47" s="416"/>
      <c r="R47" s="416"/>
      <c r="S47" s="416"/>
      <c r="T47" s="416"/>
      <c r="U47" s="416"/>
      <c r="V47" s="416"/>
      <c r="W47" s="416"/>
      <c r="X47" s="416"/>
      <c r="Y47" s="416"/>
      <c r="Z47" s="417"/>
      <c r="AA47" s="405"/>
      <c r="AB47" s="405"/>
      <c r="AC47" s="405"/>
      <c r="AD47" s="405"/>
      <c r="AE47" s="405"/>
      <c r="AF47" s="409"/>
      <c r="AG47" s="410"/>
      <c r="AH47" s="410"/>
      <c r="AI47" s="410"/>
      <c r="AJ47" s="411"/>
      <c r="AK47" s="509"/>
    </row>
    <row r="48" spans="1:37" ht="31.5" customHeight="1" x14ac:dyDescent="0.15">
      <c r="A48" s="507"/>
      <c r="B48" s="418" t="s">
        <v>76</v>
      </c>
      <c r="C48" s="419"/>
      <c r="D48" s="419"/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19"/>
      <c r="V48" s="419"/>
      <c r="W48" s="419"/>
      <c r="X48" s="419"/>
      <c r="Y48" s="419"/>
      <c r="Z48" s="420"/>
      <c r="AA48" s="405"/>
      <c r="AB48" s="405"/>
      <c r="AC48" s="405"/>
      <c r="AD48" s="405"/>
      <c r="AE48" s="405"/>
      <c r="AF48" s="412"/>
      <c r="AG48" s="413"/>
      <c r="AH48" s="413"/>
      <c r="AI48" s="413"/>
      <c r="AJ48" s="414"/>
      <c r="AK48" s="509"/>
    </row>
    <row r="49" spans="1:40" ht="12.75" customHeight="1" x14ac:dyDescent="0.15">
      <c r="A49" s="507"/>
      <c r="B49" s="421" t="s">
        <v>77</v>
      </c>
      <c r="C49" s="422"/>
      <c r="D49" s="422"/>
      <c r="E49" s="422"/>
      <c r="F49" s="422"/>
      <c r="G49" s="422"/>
      <c r="H49" s="422"/>
      <c r="I49" s="422"/>
      <c r="J49" s="422"/>
      <c r="K49" s="422"/>
      <c r="L49" s="422"/>
      <c r="M49" s="422"/>
      <c r="N49" s="422"/>
      <c r="O49" s="422"/>
      <c r="P49" s="422"/>
      <c r="Q49" s="422"/>
      <c r="R49" s="422"/>
      <c r="S49" s="422"/>
      <c r="T49" s="422"/>
      <c r="U49" s="422"/>
      <c r="V49" s="422"/>
      <c r="W49" s="422"/>
      <c r="X49" s="422"/>
      <c r="Y49" s="422"/>
      <c r="Z49" s="423"/>
      <c r="AA49" s="405">
        <v>5.4999999999999997E-3</v>
      </c>
      <c r="AB49" s="405"/>
      <c r="AC49" s="405"/>
      <c r="AD49" s="405"/>
      <c r="AE49" s="405"/>
      <c r="AF49" s="406">
        <v>92.5</v>
      </c>
      <c r="AG49" s="407"/>
      <c r="AH49" s="407"/>
      <c r="AI49" s="407"/>
      <c r="AJ49" s="408"/>
      <c r="AK49" s="509"/>
    </row>
    <row r="50" spans="1:40" ht="9" x14ac:dyDescent="0.15">
      <c r="A50" s="507"/>
      <c r="B50" s="424"/>
      <c r="C50" s="425"/>
      <c r="D50" s="425"/>
      <c r="E50" s="425"/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5"/>
      <c r="Q50" s="425"/>
      <c r="R50" s="425"/>
      <c r="S50" s="425"/>
      <c r="T50" s="425"/>
      <c r="U50" s="425"/>
      <c r="V50" s="425"/>
      <c r="W50" s="425"/>
      <c r="X50" s="425"/>
      <c r="Y50" s="425"/>
      <c r="Z50" s="426"/>
      <c r="AA50" s="405"/>
      <c r="AB50" s="405"/>
      <c r="AC50" s="405"/>
      <c r="AD50" s="405"/>
      <c r="AE50" s="405"/>
      <c r="AF50" s="409"/>
      <c r="AG50" s="410"/>
      <c r="AH50" s="410"/>
      <c r="AI50" s="410"/>
      <c r="AJ50" s="411"/>
      <c r="AK50" s="509"/>
    </row>
    <row r="51" spans="1:40" ht="27.2" customHeight="1" x14ac:dyDescent="0.15">
      <c r="A51" s="507"/>
      <c r="B51" s="427"/>
      <c r="C51" s="428"/>
      <c r="D51" s="428"/>
      <c r="E51" s="428"/>
      <c r="F51" s="428"/>
      <c r="G51" s="428"/>
      <c r="H51" s="428"/>
      <c r="I51" s="428"/>
      <c r="J51" s="428"/>
      <c r="K51" s="428"/>
      <c r="L51" s="428"/>
      <c r="M51" s="428"/>
      <c r="N51" s="428"/>
      <c r="O51" s="428"/>
      <c r="P51" s="428"/>
      <c r="Q51" s="428"/>
      <c r="R51" s="428"/>
      <c r="S51" s="428"/>
      <c r="T51" s="428"/>
      <c r="U51" s="428"/>
      <c r="V51" s="428"/>
      <c r="W51" s="428"/>
      <c r="X51" s="428"/>
      <c r="Y51" s="428"/>
      <c r="Z51" s="429"/>
      <c r="AA51" s="405"/>
      <c r="AB51" s="405"/>
      <c r="AC51" s="405"/>
      <c r="AD51" s="405"/>
      <c r="AE51" s="405"/>
      <c r="AF51" s="412"/>
      <c r="AG51" s="413"/>
      <c r="AH51" s="413"/>
      <c r="AI51" s="413"/>
      <c r="AJ51" s="414"/>
      <c r="AK51" s="509"/>
    </row>
    <row r="52" spans="1:40" ht="42.75" customHeight="1" x14ac:dyDescent="0.15">
      <c r="A52" s="507"/>
      <c r="B52" s="385" t="s">
        <v>78</v>
      </c>
      <c r="C52" s="386"/>
      <c r="D52" s="386"/>
      <c r="E52" s="386"/>
      <c r="F52" s="386"/>
      <c r="G52" s="386"/>
      <c r="H52" s="386"/>
      <c r="I52" s="386"/>
      <c r="J52" s="386"/>
      <c r="K52" s="386"/>
      <c r="L52" s="386"/>
      <c r="M52" s="386"/>
      <c r="N52" s="386"/>
      <c r="O52" s="386"/>
      <c r="P52" s="386"/>
      <c r="Q52" s="386"/>
      <c r="R52" s="386"/>
      <c r="S52" s="386"/>
      <c r="T52" s="386"/>
      <c r="U52" s="386"/>
      <c r="V52" s="386"/>
      <c r="W52" s="386"/>
      <c r="X52" s="386"/>
      <c r="Y52" s="386"/>
      <c r="Z52" s="386"/>
      <c r="AA52" s="387" t="s">
        <v>79</v>
      </c>
      <c r="AB52" s="388"/>
      <c r="AC52" s="388"/>
      <c r="AD52" s="388"/>
      <c r="AE52" s="388"/>
      <c r="AF52" s="388"/>
      <c r="AG52" s="388"/>
      <c r="AH52" s="388"/>
      <c r="AI52" s="388"/>
      <c r="AJ52" s="389"/>
      <c r="AK52" s="509"/>
    </row>
    <row r="53" spans="1:40" ht="12.75" customHeight="1" x14ac:dyDescent="0.15">
      <c r="A53" s="507"/>
      <c r="B53" s="390" t="s">
        <v>80</v>
      </c>
      <c r="C53" s="391"/>
      <c r="D53" s="391"/>
      <c r="E53" s="391"/>
      <c r="F53" s="391"/>
      <c r="G53" s="391"/>
      <c r="H53" s="391"/>
      <c r="I53" s="391"/>
      <c r="J53" s="391"/>
      <c r="K53" s="391"/>
      <c r="L53" s="391"/>
      <c r="M53" s="391"/>
      <c r="N53" s="391"/>
      <c r="O53" s="391"/>
      <c r="P53" s="391"/>
      <c r="Q53" s="391"/>
      <c r="R53" s="391"/>
      <c r="S53" s="391"/>
      <c r="T53" s="391"/>
      <c r="U53" s="391"/>
      <c r="V53" s="391"/>
      <c r="W53" s="391"/>
      <c r="X53" s="391"/>
      <c r="Y53" s="391"/>
      <c r="Z53" s="391"/>
      <c r="AA53" s="392">
        <v>36.013824</v>
      </c>
      <c r="AB53" s="392"/>
      <c r="AC53" s="392"/>
      <c r="AD53" s="392"/>
      <c r="AE53" s="392"/>
      <c r="AF53" s="393"/>
      <c r="AG53" s="394"/>
      <c r="AH53" s="394"/>
      <c r="AI53" s="394"/>
      <c r="AJ53" s="395"/>
      <c r="AK53" s="509"/>
      <c r="AN53" s="191"/>
    </row>
    <row r="54" spans="1:40" ht="56.25" customHeight="1" x14ac:dyDescent="0.15">
      <c r="A54" s="507"/>
      <c r="B54" s="396" t="s">
        <v>81</v>
      </c>
      <c r="C54" s="397"/>
      <c r="D54" s="397"/>
      <c r="E54" s="397"/>
      <c r="F54" s="397"/>
      <c r="G54" s="397"/>
      <c r="H54" s="397"/>
      <c r="I54" s="397"/>
      <c r="J54" s="397"/>
      <c r="K54" s="397"/>
      <c r="L54" s="397"/>
      <c r="M54" s="397"/>
      <c r="N54" s="397"/>
      <c r="O54" s="397"/>
      <c r="P54" s="397"/>
      <c r="Q54" s="397"/>
      <c r="R54" s="397"/>
      <c r="S54" s="397"/>
      <c r="T54" s="397"/>
      <c r="U54" s="397"/>
      <c r="V54" s="397"/>
      <c r="W54" s="397"/>
      <c r="X54" s="397"/>
      <c r="Y54" s="397"/>
      <c r="Z54" s="397"/>
      <c r="AA54" s="398" t="s">
        <v>82</v>
      </c>
      <c r="AB54" s="398"/>
      <c r="AC54" s="398"/>
      <c r="AD54" s="398"/>
      <c r="AE54" s="398"/>
      <c r="AF54" s="399" t="s">
        <v>83</v>
      </c>
      <c r="AG54" s="400"/>
      <c r="AH54" s="400"/>
      <c r="AI54" s="400"/>
      <c r="AJ54" s="401"/>
      <c r="AK54" s="509"/>
    </row>
    <row r="55" spans="1:40" ht="5.0999999999999996" customHeight="1" x14ac:dyDescent="0.15">
      <c r="A55" s="507"/>
      <c r="B55" s="380"/>
      <c r="C55" s="380"/>
      <c r="D55" s="380"/>
      <c r="E55" s="380"/>
      <c r="F55" s="380"/>
      <c r="G55" s="380"/>
      <c r="H55" s="380"/>
      <c r="I55" s="380"/>
      <c r="J55" s="380"/>
      <c r="K55" s="380"/>
      <c r="L55" s="380"/>
      <c r="M55" s="380"/>
      <c r="N55" s="380"/>
      <c r="O55" s="380"/>
      <c r="P55" s="380"/>
      <c r="Q55" s="380"/>
      <c r="R55" s="380"/>
      <c r="S55" s="380"/>
      <c r="T55" s="380"/>
      <c r="U55" s="380"/>
      <c r="V55" s="380"/>
      <c r="W55" s="380"/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509"/>
    </row>
    <row r="56" spans="1:40" ht="12.75" customHeight="1" x14ac:dyDescent="0.15">
      <c r="A56" s="507"/>
      <c r="B56" s="345" t="s">
        <v>84</v>
      </c>
      <c r="C56" s="346"/>
      <c r="D56" s="346"/>
      <c r="E56" s="346"/>
      <c r="F56" s="346"/>
      <c r="G56" s="346"/>
      <c r="H56" s="346"/>
      <c r="I56" s="346"/>
      <c r="J56" s="346"/>
      <c r="K56" s="346"/>
      <c r="L56" s="346"/>
      <c r="M56" s="346"/>
      <c r="N56" s="346"/>
      <c r="O56" s="346"/>
      <c r="P56" s="346"/>
      <c r="Q56" s="346"/>
      <c r="R56" s="346"/>
      <c r="S56" s="346"/>
      <c r="T56" s="346"/>
      <c r="U56" s="346"/>
      <c r="V56" s="346"/>
      <c r="W56" s="346"/>
      <c r="X56" s="346"/>
      <c r="Y56" s="346"/>
      <c r="Z56" s="346"/>
      <c r="AA56" s="346"/>
      <c r="AB56" s="346"/>
      <c r="AC56" s="346"/>
      <c r="AD56" s="346"/>
      <c r="AE56" s="346"/>
      <c r="AF56" s="346"/>
      <c r="AG56" s="346"/>
      <c r="AH56" s="346"/>
      <c r="AI56" s="346"/>
      <c r="AJ56" s="347"/>
      <c r="AK56" s="509"/>
    </row>
    <row r="57" spans="1:40" ht="5.0999999999999996" customHeight="1" x14ac:dyDescent="0.15">
      <c r="A57" s="507"/>
      <c r="B57" s="381"/>
      <c r="C57" s="381"/>
      <c r="D57" s="381"/>
      <c r="E57" s="381"/>
      <c r="F57" s="381"/>
      <c r="G57" s="381"/>
      <c r="H57" s="381"/>
      <c r="I57" s="381"/>
      <c r="J57" s="381"/>
      <c r="K57" s="381"/>
      <c r="L57" s="381"/>
      <c r="M57" s="381"/>
      <c r="N57" s="381"/>
      <c r="O57" s="381"/>
      <c r="P57" s="381"/>
      <c r="Q57" s="381"/>
      <c r="R57" s="381"/>
      <c r="S57" s="381"/>
      <c r="T57" s="381"/>
      <c r="U57" s="381"/>
      <c r="V57" s="381"/>
      <c r="W57" s="381"/>
      <c r="X57" s="381"/>
      <c r="Y57" s="381"/>
      <c r="Z57" s="381"/>
      <c r="AA57" s="381"/>
      <c r="AB57" s="381"/>
      <c r="AC57" s="381"/>
      <c r="AD57" s="381"/>
      <c r="AE57" s="381"/>
      <c r="AF57" s="381"/>
      <c r="AG57" s="381"/>
      <c r="AH57" s="381"/>
      <c r="AI57" s="381"/>
      <c r="AJ57" s="381"/>
      <c r="AK57" s="509"/>
    </row>
    <row r="58" spans="1:40" ht="3.95" customHeight="1" x14ac:dyDescent="0.15">
      <c r="A58" s="507"/>
      <c r="B58" s="382"/>
      <c r="C58" s="383"/>
      <c r="D58" s="383"/>
      <c r="E58" s="383"/>
      <c r="F58" s="383"/>
      <c r="G58" s="383"/>
      <c r="H58" s="383"/>
      <c r="I58" s="383"/>
      <c r="J58" s="383"/>
      <c r="K58" s="383"/>
      <c r="L58" s="383"/>
      <c r="M58" s="383"/>
      <c r="N58" s="383"/>
      <c r="O58" s="383"/>
      <c r="P58" s="383"/>
      <c r="Q58" s="383"/>
      <c r="R58" s="383"/>
      <c r="S58" s="383"/>
      <c r="T58" s="383"/>
      <c r="U58" s="383"/>
      <c r="V58" s="383"/>
      <c r="W58" s="383"/>
      <c r="X58" s="383"/>
      <c r="Y58" s="383"/>
      <c r="Z58" s="383"/>
      <c r="AA58" s="383"/>
      <c r="AB58" s="383"/>
      <c r="AC58" s="383"/>
      <c r="AD58" s="383"/>
      <c r="AE58" s="383"/>
      <c r="AF58" s="383"/>
      <c r="AG58" s="383"/>
      <c r="AH58" s="383"/>
      <c r="AI58" s="383"/>
      <c r="AJ58" s="384"/>
      <c r="AK58" s="509"/>
    </row>
    <row r="59" spans="1:40" ht="12.75" customHeight="1" x14ac:dyDescent="0.15">
      <c r="A59" s="507"/>
      <c r="B59" s="362" t="s">
        <v>85</v>
      </c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193"/>
      <c r="N59" s="363" t="s">
        <v>86</v>
      </c>
      <c r="O59" s="363"/>
      <c r="P59" s="363"/>
      <c r="Q59" s="363"/>
      <c r="R59" s="363"/>
      <c r="S59" s="363"/>
      <c r="T59" s="363"/>
      <c r="U59" s="363"/>
      <c r="V59" s="363"/>
      <c r="W59" s="363"/>
      <c r="X59" s="363"/>
      <c r="Y59" s="363"/>
      <c r="Z59" s="363"/>
      <c r="AA59" s="363"/>
      <c r="AB59" s="363"/>
      <c r="AC59" s="363"/>
      <c r="AD59" s="363"/>
      <c r="AE59" s="363"/>
      <c r="AF59" s="363"/>
      <c r="AG59" s="363"/>
      <c r="AH59" s="363"/>
      <c r="AI59" s="363"/>
      <c r="AJ59" s="379"/>
      <c r="AK59" s="509"/>
    </row>
    <row r="60" spans="1:40" ht="3.95" customHeight="1" x14ac:dyDescent="0.15">
      <c r="A60" s="507"/>
      <c r="B60" s="362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63"/>
      <c r="P60" s="363"/>
      <c r="Q60" s="363"/>
      <c r="R60" s="363"/>
      <c r="S60" s="363"/>
      <c r="T60" s="363"/>
      <c r="U60" s="363"/>
      <c r="V60" s="363"/>
      <c r="W60" s="363"/>
      <c r="X60" s="363"/>
      <c r="Y60" s="363"/>
      <c r="Z60" s="363"/>
      <c r="AA60" s="363"/>
      <c r="AB60" s="363"/>
      <c r="AC60" s="363"/>
      <c r="AD60" s="363"/>
      <c r="AE60" s="363"/>
      <c r="AF60" s="363"/>
      <c r="AG60" s="363"/>
      <c r="AH60" s="363"/>
      <c r="AI60" s="363"/>
      <c r="AJ60" s="379"/>
      <c r="AK60" s="509"/>
    </row>
    <row r="61" spans="1:40" ht="12.75" customHeight="1" x14ac:dyDescent="0.15">
      <c r="A61" s="507"/>
      <c r="B61" s="376" t="s">
        <v>87</v>
      </c>
      <c r="C61" s="377"/>
      <c r="D61" s="377"/>
      <c r="E61" s="377"/>
      <c r="F61" s="377"/>
      <c r="G61" s="377"/>
      <c r="H61" s="377"/>
      <c r="I61" s="377"/>
      <c r="J61" s="377"/>
      <c r="K61" s="377"/>
      <c r="L61" s="377"/>
      <c r="M61" s="194"/>
      <c r="N61" s="363" t="s">
        <v>88</v>
      </c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63"/>
      <c r="AB61" s="363"/>
      <c r="AC61" s="363"/>
      <c r="AD61" s="363"/>
      <c r="AE61" s="363"/>
      <c r="AF61" s="363"/>
      <c r="AG61" s="363"/>
      <c r="AH61" s="363"/>
      <c r="AI61" s="363"/>
      <c r="AJ61" s="379"/>
      <c r="AK61" s="509"/>
    </row>
    <row r="62" spans="1:40" ht="5.0999999999999996" customHeight="1" x14ac:dyDescent="0.15">
      <c r="A62" s="507"/>
      <c r="B62" s="376"/>
      <c r="C62" s="377"/>
      <c r="D62" s="377"/>
      <c r="E62" s="377"/>
      <c r="F62" s="377"/>
      <c r="G62" s="377"/>
      <c r="H62" s="377"/>
      <c r="I62" s="377"/>
      <c r="J62" s="377"/>
      <c r="K62" s="377"/>
      <c r="L62" s="377"/>
      <c r="M62" s="377"/>
      <c r="N62" s="377"/>
      <c r="O62" s="377"/>
      <c r="P62" s="377"/>
      <c r="Q62" s="377"/>
      <c r="R62" s="377"/>
      <c r="S62" s="377"/>
      <c r="T62" s="377"/>
      <c r="U62" s="377"/>
      <c r="V62" s="377"/>
      <c r="W62" s="377"/>
      <c r="X62" s="377"/>
      <c r="Y62" s="377"/>
      <c r="Z62" s="377"/>
      <c r="AA62" s="377"/>
      <c r="AB62" s="377"/>
      <c r="AC62" s="377"/>
      <c r="AD62" s="377"/>
      <c r="AE62" s="377"/>
      <c r="AF62" s="377"/>
      <c r="AG62" s="377"/>
      <c r="AH62" s="377"/>
      <c r="AI62" s="377"/>
      <c r="AJ62" s="378"/>
      <c r="AK62" s="509"/>
    </row>
    <row r="63" spans="1:40" ht="12.75" customHeight="1" x14ac:dyDescent="0.15">
      <c r="A63" s="507"/>
      <c r="B63" s="376" t="s">
        <v>89</v>
      </c>
      <c r="C63" s="377"/>
      <c r="D63" s="377"/>
      <c r="E63" s="377"/>
      <c r="F63" s="377"/>
      <c r="G63" s="377"/>
      <c r="H63" s="377"/>
      <c r="I63" s="377"/>
      <c r="J63" s="377"/>
      <c r="K63" s="377"/>
      <c r="L63" s="377"/>
      <c r="M63" s="194"/>
      <c r="N63" s="363" t="s">
        <v>90</v>
      </c>
      <c r="O63" s="363"/>
      <c r="P63" s="363"/>
      <c r="Q63" s="363"/>
      <c r="R63" s="363"/>
      <c r="S63" s="363"/>
      <c r="T63" s="363"/>
      <c r="U63" s="363"/>
      <c r="V63" s="363"/>
      <c r="W63" s="363"/>
      <c r="X63" s="363"/>
      <c r="Y63" s="363"/>
      <c r="Z63" s="363"/>
      <c r="AA63" s="363"/>
      <c r="AB63" s="363"/>
      <c r="AC63" s="363"/>
      <c r="AD63" s="363"/>
      <c r="AE63" s="363"/>
      <c r="AF63" s="363"/>
      <c r="AG63" s="363"/>
      <c r="AH63" s="363"/>
      <c r="AI63" s="363"/>
      <c r="AJ63" s="379"/>
      <c r="AK63" s="509"/>
    </row>
    <row r="64" spans="1:40" ht="5.0999999999999996" customHeight="1" x14ac:dyDescent="0.15">
      <c r="A64" s="507"/>
      <c r="B64" s="376"/>
      <c r="C64" s="377"/>
      <c r="D64" s="377"/>
      <c r="E64" s="377"/>
      <c r="F64" s="377"/>
      <c r="G64" s="377"/>
      <c r="H64" s="377"/>
      <c r="I64" s="377"/>
      <c r="J64" s="377"/>
      <c r="K64" s="377"/>
      <c r="L64" s="377"/>
      <c r="M64" s="377"/>
      <c r="N64" s="377"/>
      <c r="O64" s="377"/>
      <c r="P64" s="377"/>
      <c r="Q64" s="377"/>
      <c r="R64" s="377"/>
      <c r="S64" s="377"/>
      <c r="T64" s="377"/>
      <c r="U64" s="377"/>
      <c r="V64" s="377"/>
      <c r="W64" s="377"/>
      <c r="X64" s="377"/>
      <c r="Y64" s="377"/>
      <c r="Z64" s="377"/>
      <c r="AA64" s="377"/>
      <c r="AB64" s="377"/>
      <c r="AC64" s="377"/>
      <c r="AD64" s="377"/>
      <c r="AE64" s="377"/>
      <c r="AF64" s="377"/>
      <c r="AG64" s="377"/>
      <c r="AH64" s="377"/>
      <c r="AI64" s="377"/>
      <c r="AJ64" s="378"/>
      <c r="AK64" s="509"/>
    </row>
    <row r="65" spans="1:39" ht="12.75" customHeight="1" x14ac:dyDescent="0.15">
      <c r="A65" s="507"/>
      <c r="B65" s="362" t="s">
        <v>91</v>
      </c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193"/>
      <c r="N65" s="363" t="s">
        <v>92</v>
      </c>
      <c r="O65" s="363"/>
      <c r="P65" s="364"/>
      <c r="Q65" s="365">
        <v>1376.3312639999999</v>
      </c>
      <c r="R65" s="366"/>
      <c r="S65" s="367"/>
      <c r="T65" s="368" t="s">
        <v>93</v>
      </c>
      <c r="U65" s="363"/>
      <c r="V65" s="363"/>
      <c r="W65" s="364"/>
      <c r="X65" s="365">
        <v>1834.0993440000002</v>
      </c>
      <c r="Y65" s="366"/>
      <c r="Z65" s="367"/>
      <c r="AA65" s="373"/>
      <c r="AB65" s="374"/>
      <c r="AC65" s="374"/>
      <c r="AD65" s="374"/>
      <c r="AE65" s="374"/>
      <c r="AF65" s="374"/>
      <c r="AG65" s="374"/>
      <c r="AH65" s="374"/>
      <c r="AI65" s="374"/>
      <c r="AJ65" s="375"/>
      <c r="AK65" s="509"/>
      <c r="AL65" s="197"/>
      <c r="AM65" s="198"/>
    </row>
    <row r="66" spans="1:39" ht="5.0999999999999996" customHeight="1" x14ac:dyDescent="0.15">
      <c r="A66" s="507"/>
      <c r="B66" s="370"/>
      <c r="C66" s="371"/>
      <c r="D66" s="371"/>
      <c r="E66" s="371"/>
      <c r="F66" s="371"/>
      <c r="G66" s="371"/>
      <c r="H66" s="371"/>
      <c r="I66" s="371"/>
      <c r="J66" s="371"/>
      <c r="K66" s="371"/>
      <c r="L66" s="371"/>
      <c r="M66" s="371"/>
      <c r="N66" s="371"/>
      <c r="O66" s="371"/>
      <c r="P66" s="371"/>
      <c r="Q66" s="371"/>
      <c r="R66" s="371"/>
      <c r="S66" s="371"/>
      <c r="T66" s="371"/>
      <c r="U66" s="371"/>
      <c r="V66" s="371"/>
      <c r="W66" s="371"/>
      <c r="X66" s="371"/>
      <c r="Y66" s="371"/>
      <c r="Z66" s="371"/>
      <c r="AA66" s="371"/>
      <c r="AB66" s="371"/>
      <c r="AC66" s="371"/>
      <c r="AD66" s="371"/>
      <c r="AE66" s="371"/>
      <c r="AF66" s="371"/>
      <c r="AG66" s="371"/>
      <c r="AH66" s="371"/>
      <c r="AI66" s="371"/>
      <c r="AJ66" s="372"/>
      <c r="AK66" s="509"/>
      <c r="AL66" s="197"/>
      <c r="AM66" s="198"/>
    </row>
    <row r="67" spans="1:39" ht="12.75" customHeight="1" x14ac:dyDescent="0.15">
      <c r="A67" s="507"/>
      <c r="B67" s="362" t="s">
        <v>94</v>
      </c>
      <c r="C67" s="363"/>
      <c r="D67" s="363"/>
      <c r="E67" s="363"/>
      <c r="F67" s="363"/>
      <c r="G67" s="363"/>
      <c r="H67" s="363"/>
      <c r="I67" s="363"/>
      <c r="J67" s="363"/>
      <c r="K67" s="363"/>
      <c r="L67" s="363"/>
      <c r="M67" s="193"/>
      <c r="N67" s="363" t="s">
        <v>92</v>
      </c>
      <c r="O67" s="363"/>
      <c r="P67" s="364"/>
      <c r="Q67" s="365">
        <v>1650.3822720000001</v>
      </c>
      <c r="R67" s="366"/>
      <c r="S67" s="367"/>
      <c r="T67" s="368" t="s">
        <v>93</v>
      </c>
      <c r="U67" s="363"/>
      <c r="V67" s="363"/>
      <c r="W67" s="364"/>
      <c r="X67" s="365">
        <v>2305.6387199999999</v>
      </c>
      <c r="Y67" s="366"/>
      <c r="Z67" s="367"/>
      <c r="AA67" s="373"/>
      <c r="AB67" s="374"/>
      <c r="AC67" s="374"/>
      <c r="AD67" s="374"/>
      <c r="AE67" s="374"/>
      <c r="AF67" s="374"/>
      <c r="AG67" s="374"/>
      <c r="AH67" s="374"/>
      <c r="AI67" s="374"/>
      <c r="AJ67" s="375"/>
      <c r="AK67" s="509"/>
      <c r="AL67" s="197"/>
      <c r="AM67" s="197"/>
    </row>
    <row r="68" spans="1:39" ht="5.0999999999999996" customHeight="1" x14ac:dyDescent="0.15">
      <c r="A68" s="507"/>
      <c r="B68" s="370"/>
      <c r="C68" s="371"/>
      <c r="D68" s="371"/>
      <c r="E68" s="371"/>
      <c r="F68" s="371"/>
      <c r="G68" s="371"/>
      <c r="H68" s="371"/>
      <c r="I68" s="371"/>
      <c r="J68" s="371"/>
      <c r="K68" s="371"/>
      <c r="L68" s="371"/>
      <c r="M68" s="371"/>
      <c r="N68" s="371"/>
      <c r="O68" s="371"/>
      <c r="P68" s="371"/>
      <c r="Q68" s="371"/>
      <c r="R68" s="371"/>
      <c r="S68" s="371"/>
      <c r="T68" s="371"/>
      <c r="U68" s="371"/>
      <c r="V68" s="371"/>
      <c r="W68" s="371"/>
      <c r="X68" s="371"/>
      <c r="Y68" s="371"/>
      <c r="Z68" s="371"/>
      <c r="AA68" s="371"/>
      <c r="AB68" s="371"/>
      <c r="AC68" s="371"/>
      <c r="AD68" s="371"/>
      <c r="AE68" s="371"/>
      <c r="AF68" s="371"/>
      <c r="AG68" s="371"/>
      <c r="AH68" s="371"/>
      <c r="AI68" s="371"/>
      <c r="AJ68" s="372"/>
      <c r="AK68" s="509"/>
      <c r="AL68" s="197"/>
      <c r="AM68" s="197"/>
    </row>
    <row r="69" spans="1:39" ht="12.75" customHeight="1" x14ac:dyDescent="0.15">
      <c r="A69" s="507"/>
      <c r="B69" s="362" t="s">
        <v>95</v>
      </c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194"/>
      <c r="N69" s="363" t="s">
        <v>92</v>
      </c>
      <c r="O69" s="363"/>
      <c r="P69" s="364"/>
      <c r="Q69" s="365">
        <v>1091.569248</v>
      </c>
      <c r="R69" s="366"/>
      <c r="S69" s="367"/>
      <c r="T69" s="368" t="s">
        <v>93</v>
      </c>
      <c r="U69" s="363"/>
      <c r="V69" s="363"/>
      <c r="W69" s="364"/>
      <c r="X69" s="365">
        <v>1454.4240480000001</v>
      </c>
      <c r="Y69" s="366"/>
      <c r="Z69" s="367"/>
      <c r="AA69" s="373"/>
      <c r="AB69" s="374"/>
      <c r="AC69" s="374"/>
      <c r="AD69" s="374"/>
      <c r="AE69" s="374"/>
      <c r="AF69" s="374"/>
      <c r="AG69" s="374"/>
      <c r="AH69" s="374"/>
      <c r="AI69" s="374"/>
      <c r="AJ69" s="375"/>
      <c r="AK69" s="509"/>
      <c r="AL69" s="197"/>
      <c r="AM69" s="197"/>
    </row>
    <row r="70" spans="1:39" ht="3.95" customHeight="1" x14ac:dyDescent="0.15">
      <c r="A70" s="507"/>
      <c r="B70" s="192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4"/>
      <c r="N70" s="193"/>
      <c r="O70" s="193"/>
      <c r="P70" s="193"/>
      <c r="Q70" s="199"/>
      <c r="R70" s="199"/>
      <c r="S70" s="199"/>
      <c r="T70" s="193"/>
      <c r="U70" s="193"/>
      <c r="V70" s="193"/>
      <c r="W70" s="193"/>
      <c r="X70" s="199"/>
      <c r="Y70" s="199"/>
      <c r="Z70" s="199"/>
      <c r="AA70" s="195"/>
      <c r="AB70" s="195"/>
      <c r="AC70" s="195"/>
      <c r="AD70" s="195"/>
      <c r="AE70" s="195"/>
      <c r="AF70" s="195"/>
      <c r="AG70" s="195"/>
      <c r="AH70" s="195"/>
      <c r="AI70" s="195"/>
      <c r="AJ70" s="196"/>
      <c r="AK70" s="509"/>
      <c r="AL70" s="197"/>
      <c r="AM70" s="197"/>
    </row>
    <row r="71" spans="1:39" ht="12.75" customHeight="1" x14ac:dyDescent="0.15">
      <c r="A71" s="507"/>
      <c r="B71" s="362" t="s">
        <v>96</v>
      </c>
      <c r="C71" s="363"/>
      <c r="D71" s="363"/>
      <c r="E71" s="363"/>
      <c r="F71" s="363"/>
      <c r="G71" s="363"/>
      <c r="H71" s="363"/>
      <c r="I71" s="363"/>
      <c r="J71" s="363"/>
      <c r="K71" s="363"/>
      <c r="L71" s="363"/>
      <c r="M71" s="200"/>
      <c r="N71" s="363" t="s">
        <v>92</v>
      </c>
      <c r="O71" s="363"/>
      <c r="P71" s="364"/>
      <c r="Q71" s="365"/>
      <c r="R71" s="366"/>
      <c r="S71" s="367"/>
      <c r="T71" s="368" t="s">
        <v>93</v>
      </c>
      <c r="U71" s="363"/>
      <c r="V71" s="363"/>
      <c r="W71" s="364"/>
      <c r="X71" s="365"/>
      <c r="Y71" s="366"/>
      <c r="Z71" s="367"/>
      <c r="AA71" s="200"/>
      <c r="AB71" s="200"/>
      <c r="AC71" s="200"/>
      <c r="AD71" s="200"/>
      <c r="AE71" s="200"/>
      <c r="AF71" s="200"/>
      <c r="AG71" s="200"/>
      <c r="AH71" s="200"/>
      <c r="AI71" s="200"/>
      <c r="AJ71" s="201"/>
      <c r="AK71" s="509"/>
    </row>
    <row r="72" spans="1:39" ht="3.95" customHeight="1" x14ac:dyDescent="0.15">
      <c r="A72" s="507"/>
      <c r="B72" s="369"/>
      <c r="C72" s="369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69"/>
      <c r="P72" s="369"/>
      <c r="Q72" s="369"/>
      <c r="R72" s="369"/>
      <c r="S72" s="369"/>
      <c r="T72" s="369"/>
      <c r="U72" s="369"/>
      <c r="V72" s="369"/>
      <c r="W72" s="369"/>
      <c r="X72" s="369"/>
      <c r="Y72" s="369"/>
      <c r="Z72" s="369"/>
      <c r="AA72" s="369"/>
      <c r="AB72" s="369"/>
      <c r="AC72" s="369"/>
      <c r="AD72" s="369"/>
      <c r="AE72" s="369"/>
      <c r="AF72" s="369"/>
      <c r="AG72" s="369"/>
      <c r="AH72" s="369"/>
      <c r="AI72" s="369"/>
      <c r="AJ72" s="369"/>
      <c r="AK72" s="509"/>
    </row>
    <row r="73" spans="1:39" ht="12.75" customHeight="1" x14ac:dyDescent="0.15">
      <c r="A73" s="507"/>
      <c r="B73" s="345" t="s">
        <v>97</v>
      </c>
      <c r="C73" s="346"/>
      <c r="D73" s="346"/>
      <c r="E73" s="346"/>
      <c r="F73" s="346"/>
      <c r="G73" s="346"/>
      <c r="H73" s="346"/>
      <c r="I73" s="346"/>
      <c r="J73" s="346"/>
      <c r="K73" s="346"/>
      <c r="L73" s="346"/>
      <c r="M73" s="346"/>
      <c r="N73" s="346"/>
      <c r="O73" s="346"/>
      <c r="P73" s="346"/>
      <c r="Q73" s="346"/>
      <c r="R73" s="346"/>
      <c r="S73" s="346"/>
      <c r="T73" s="346"/>
      <c r="U73" s="346"/>
      <c r="V73" s="346"/>
      <c r="W73" s="346"/>
      <c r="X73" s="346"/>
      <c r="Y73" s="346"/>
      <c r="Z73" s="346"/>
      <c r="AA73" s="346"/>
      <c r="AB73" s="346"/>
      <c r="AC73" s="346"/>
      <c r="AD73" s="346"/>
      <c r="AE73" s="346"/>
      <c r="AF73" s="346"/>
      <c r="AG73" s="346"/>
      <c r="AH73" s="346"/>
      <c r="AI73" s="346"/>
      <c r="AJ73" s="347"/>
      <c r="AK73" s="509"/>
    </row>
    <row r="74" spans="1:39" ht="3.95" customHeight="1" x14ac:dyDescent="0.15">
      <c r="A74" s="507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  <c r="AI74" s="202"/>
      <c r="AJ74" s="202"/>
      <c r="AK74" s="509"/>
    </row>
    <row r="75" spans="1:39" ht="46.5" customHeight="1" x14ac:dyDescent="0.15">
      <c r="A75" s="507"/>
      <c r="B75" s="348" t="s">
        <v>98</v>
      </c>
      <c r="C75" s="349"/>
      <c r="D75" s="349"/>
      <c r="E75" s="349"/>
      <c r="F75" s="349"/>
      <c r="G75" s="349"/>
      <c r="H75" s="349"/>
      <c r="I75" s="349"/>
      <c r="J75" s="349"/>
      <c r="K75" s="349"/>
      <c r="L75" s="349"/>
      <c r="M75" s="349"/>
      <c r="N75" s="349"/>
      <c r="O75" s="349"/>
      <c r="P75" s="349"/>
      <c r="Q75" s="349"/>
      <c r="R75" s="349"/>
      <c r="S75" s="349"/>
      <c r="T75" s="349"/>
      <c r="U75" s="349"/>
      <c r="V75" s="349"/>
      <c r="W75" s="349"/>
      <c r="X75" s="349"/>
      <c r="Y75" s="349"/>
      <c r="Z75" s="349"/>
      <c r="AA75" s="349"/>
      <c r="AB75" s="349"/>
      <c r="AC75" s="349"/>
      <c r="AD75" s="349"/>
      <c r="AE75" s="349"/>
      <c r="AF75" s="349"/>
      <c r="AG75" s="349"/>
      <c r="AH75" s="349"/>
      <c r="AI75" s="349"/>
      <c r="AJ75" s="350"/>
      <c r="AK75" s="509"/>
    </row>
    <row r="76" spans="1:39" ht="20.25" customHeight="1" x14ac:dyDescent="0.15">
      <c r="A76" s="507"/>
      <c r="B76" s="351" t="s">
        <v>99</v>
      </c>
      <c r="C76" s="352"/>
      <c r="D76" s="352"/>
      <c r="E76" s="352"/>
      <c r="F76" s="352"/>
      <c r="G76" s="352"/>
      <c r="H76" s="352"/>
      <c r="I76" s="352"/>
      <c r="J76" s="352"/>
      <c r="K76" s="352"/>
      <c r="L76" s="352"/>
      <c r="M76" s="352"/>
      <c r="N76" s="352"/>
      <c r="O76" s="352"/>
      <c r="P76" s="352"/>
      <c r="Q76" s="352"/>
      <c r="R76" s="352"/>
      <c r="S76" s="352"/>
      <c r="T76" s="352"/>
      <c r="U76" s="352"/>
      <c r="V76" s="352"/>
      <c r="W76" s="352"/>
      <c r="X76" s="352"/>
      <c r="Y76" s="352"/>
      <c r="Z76" s="352"/>
      <c r="AA76" s="352"/>
      <c r="AB76" s="352"/>
      <c r="AC76" s="352"/>
      <c r="AD76" s="352"/>
      <c r="AE76" s="352"/>
      <c r="AF76" s="352"/>
      <c r="AG76" s="352"/>
      <c r="AH76" s="352"/>
      <c r="AI76" s="352"/>
      <c r="AJ76" s="353"/>
      <c r="AK76" s="509"/>
    </row>
    <row r="77" spans="1:39" ht="3.95" customHeight="1" x14ac:dyDescent="0.15">
      <c r="A77" s="507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509"/>
    </row>
    <row r="78" spans="1:39" ht="8.25" customHeight="1" x14ac:dyDescent="0.15">
      <c r="A78" s="507"/>
      <c r="B78" s="354"/>
      <c r="C78" s="355"/>
      <c r="D78" s="355"/>
      <c r="E78" s="355"/>
      <c r="F78" s="355"/>
      <c r="G78" s="355"/>
      <c r="H78" s="355"/>
      <c r="I78" s="355"/>
      <c r="J78" s="355"/>
      <c r="K78" s="355"/>
      <c r="L78" s="355"/>
      <c r="M78" s="355"/>
      <c r="N78" s="355"/>
      <c r="O78" s="355"/>
      <c r="P78" s="355"/>
      <c r="Q78" s="355"/>
      <c r="R78" s="355"/>
      <c r="S78" s="355"/>
      <c r="T78" s="355"/>
      <c r="U78" s="355"/>
      <c r="V78" s="355"/>
      <c r="W78" s="355"/>
      <c r="X78" s="355"/>
      <c r="Y78" s="355"/>
      <c r="Z78" s="355"/>
      <c r="AA78" s="355"/>
      <c r="AB78" s="355"/>
      <c r="AC78" s="355"/>
      <c r="AD78" s="355"/>
      <c r="AE78" s="355"/>
      <c r="AF78" s="355"/>
      <c r="AG78" s="355"/>
      <c r="AH78" s="355"/>
      <c r="AI78" s="355"/>
      <c r="AJ78" s="356"/>
      <c r="AK78" s="509"/>
    </row>
    <row r="79" spans="1:39" ht="12.75" customHeight="1" x14ac:dyDescent="0.15">
      <c r="A79" s="507"/>
      <c r="B79" s="357"/>
      <c r="C79" s="358" t="s">
        <v>5360</v>
      </c>
      <c r="D79" s="358"/>
      <c r="E79" s="358"/>
      <c r="F79" s="358"/>
      <c r="G79" s="358"/>
      <c r="H79" s="358"/>
      <c r="I79" s="358"/>
      <c r="J79" s="358"/>
      <c r="K79" s="15"/>
      <c r="L79" s="15"/>
      <c r="M79" s="15"/>
      <c r="N79" s="15"/>
      <c r="O79" s="15"/>
      <c r="P79" s="15"/>
      <c r="Q79" s="15"/>
      <c r="R79" s="15"/>
      <c r="S79" s="15"/>
      <c r="T79" s="358" t="s">
        <v>5361</v>
      </c>
      <c r="U79" s="358"/>
      <c r="V79" s="358"/>
      <c r="W79" s="358"/>
      <c r="X79" s="358"/>
      <c r="Y79" s="358"/>
      <c r="Z79" s="358"/>
      <c r="AA79" s="358"/>
      <c r="AB79" s="358"/>
      <c r="AC79" s="358"/>
      <c r="AD79" s="358"/>
      <c r="AE79" s="358"/>
      <c r="AF79" s="358"/>
      <c r="AG79" s="358"/>
      <c r="AH79" s="358"/>
      <c r="AI79" s="15"/>
      <c r="AJ79" s="359"/>
      <c r="AK79" s="509"/>
    </row>
    <row r="80" spans="1:39" ht="12.75" customHeight="1" x14ac:dyDescent="0.15">
      <c r="A80" s="507"/>
      <c r="B80" s="357"/>
      <c r="C80" s="360" t="s">
        <v>103</v>
      </c>
      <c r="D80" s="360"/>
      <c r="E80" s="360"/>
      <c r="F80" s="360"/>
      <c r="G80" s="360"/>
      <c r="H80" s="360"/>
      <c r="I80" s="360"/>
      <c r="J80" s="360"/>
      <c r="K80" s="204"/>
      <c r="L80" s="204"/>
      <c r="M80" s="204"/>
      <c r="N80" s="204"/>
      <c r="O80" s="204"/>
      <c r="P80" s="15"/>
      <c r="Q80" s="15"/>
      <c r="R80" s="15"/>
      <c r="S80" s="15"/>
      <c r="T80" s="361" t="s">
        <v>5353</v>
      </c>
      <c r="U80" s="361"/>
      <c r="V80" s="361"/>
      <c r="W80" s="361"/>
      <c r="X80" s="361"/>
      <c r="Y80" s="361"/>
      <c r="Z80" s="361"/>
      <c r="AA80" s="361"/>
      <c r="AB80" s="361"/>
      <c r="AC80" s="361"/>
      <c r="AD80" s="361"/>
      <c r="AE80" s="361"/>
      <c r="AF80" s="361"/>
      <c r="AG80" s="361"/>
      <c r="AH80" s="361"/>
      <c r="AI80" s="205"/>
      <c r="AJ80" s="359"/>
      <c r="AK80" s="509"/>
    </row>
    <row r="81" spans="1:37" ht="12.75" customHeight="1" x14ac:dyDescent="0.2">
      <c r="A81" s="507"/>
      <c r="B81" s="357"/>
      <c r="C81" s="341" t="s">
        <v>45</v>
      </c>
      <c r="D81" s="341"/>
      <c r="E81" s="341"/>
      <c r="F81" s="341"/>
      <c r="G81" s="341"/>
      <c r="H81" s="341"/>
      <c r="I81" s="341"/>
      <c r="J81" s="341"/>
      <c r="K81" s="15"/>
      <c r="L81" s="15"/>
      <c r="M81" s="15"/>
      <c r="N81" s="15"/>
      <c r="O81" s="15"/>
      <c r="P81" s="15"/>
      <c r="Q81" s="15"/>
      <c r="R81" s="15"/>
      <c r="S81" s="15"/>
      <c r="T81" s="341" t="s">
        <v>100</v>
      </c>
      <c r="U81" s="341"/>
      <c r="V81" s="341"/>
      <c r="W81" s="341"/>
      <c r="X81" s="341"/>
      <c r="Y81" s="341"/>
      <c r="Z81" s="341"/>
      <c r="AA81" s="341"/>
      <c r="AB81" s="341"/>
      <c r="AC81" s="341"/>
      <c r="AD81" s="341"/>
      <c r="AE81" s="341"/>
      <c r="AF81" s="341"/>
      <c r="AG81" s="341"/>
      <c r="AH81" s="341"/>
      <c r="AI81" s="15"/>
      <c r="AJ81" s="359"/>
      <c r="AK81" s="509"/>
    </row>
    <row r="82" spans="1:37" ht="8.25" customHeight="1" x14ac:dyDescent="0.2">
      <c r="A82" s="507"/>
      <c r="B82" s="342"/>
      <c r="C82" s="343"/>
      <c r="D82" s="343"/>
      <c r="E82" s="343"/>
      <c r="F82" s="343"/>
      <c r="G82" s="343"/>
      <c r="H82" s="343"/>
      <c r="I82" s="343"/>
      <c r="J82" s="343"/>
      <c r="K82" s="343"/>
      <c r="L82" s="343"/>
      <c r="M82" s="343"/>
      <c r="N82" s="343"/>
      <c r="O82" s="343"/>
      <c r="P82" s="343"/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4"/>
      <c r="AK82" s="509"/>
    </row>
    <row r="83" spans="1:37" ht="11.1" customHeight="1" x14ac:dyDescent="0.15">
      <c r="B83" s="206"/>
      <c r="AK83" s="509"/>
    </row>
    <row r="84" spans="1:37" ht="11.1" customHeight="1" x14ac:dyDescent="0.2">
      <c r="C84" s="207"/>
      <c r="AK84" s="509"/>
    </row>
    <row r="85" spans="1:37" ht="11.1" customHeight="1" x14ac:dyDescent="0.15">
      <c r="AK85" s="509"/>
    </row>
    <row r="86" spans="1:37" ht="11.1" customHeight="1" x14ac:dyDescent="0.2">
      <c r="J86" s="207"/>
    </row>
    <row r="97" spans="37:37" ht="11.1" customHeight="1" x14ac:dyDescent="0.15">
      <c r="AK97" s="172"/>
    </row>
    <row r="98" spans="37:37" ht="11.1" customHeight="1" x14ac:dyDescent="0.15">
      <c r="AK98" s="172"/>
    </row>
    <row r="99" spans="37:37" ht="11.1" customHeight="1" x14ac:dyDescent="0.15">
      <c r="AK99" s="172"/>
    </row>
    <row r="100" spans="37:37" ht="11.1" customHeight="1" x14ac:dyDescent="0.15">
      <c r="AK100" s="172"/>
    </row>
    <row r="101" spans="37:37" ht="11.1" customHeight="1" x14ac:dyDescent="0.15">
      <c r="AK101" s="172"/>
    </row>
    <row r="102" spans="37:37" ht="11.1" customHeight="1" x14ac:dyDescent="0.15">
      <c r="AK102" s="172"/>
    </row>
    <row r="113" spans="2:37" ht="11.1" customHeight="1" x14ac:dyDescent="0.2">
      <c r="D113" s="208" t="s">
        <v>101</v>
      </c>
      <c r="F113" s="209"/>
      <c r="G113" s="209"/>
      <c r="H113" s="209"/>
      <c r="I113" s="209"/>
      <c r="AK113" s="172"/>
    </row>
    <row r="114" spans="2:37" ht="11.1" customHeight="1" x14ac:dyDescent="0.15">
      <c r="D114" s="208" t="s">
        <v>102</v>
      </c>
      <c r="AK114" s="172"/>
    </row>
    <row r="115" spans="2:37" ht="11.1" customHeight="1" x14ac:dyDescent="0.15">
      <c r="D115" s="208" t="s">
        <v>103</v>
      </c>
      <c r="AK115" s="172"/>
    </row>
    <row r="116" spans="2:37" ht="11.1" customHeight="1" x14ac:dyDescent="0.15">
      <c r="D116" s="208" t="s">
        <v>104</v>
      </c>
      <c r="AK116" s="172"/>
    </row>
    <row r="117" spans="2:37" ht="11.1" customHeight="1" x14ac:dyDescent="0.2">
      <c r="B117" s="209"/>
      <c r="C117" s="209"/>
      <c r="D117" s="210" t="s">
        <v>105</v>
      </c>
      <c r="E117" s="209"/>
      <c r="F117" s="209"/>
      <c r="G117" s="209"/>
      <c r="H117" s="209"/>
      <c r="I117" s="209"/>
      <c r="J117" s="209"/>
      <c r="K117" s="209"/>
      <c r="AK117" s="172"/>
    </row>
    <row r="118" spans="2:37" ht="11.1" customHeight="1" x14ac:dyDescent="0.2">
      <c r="B118" s="209"/>
      <c r="C118" s="209"/>
      <c r="D118" s="208" t="s">
        <v>106</v>
      </c>
      <c r="J118" s="209"/>
      <c r="K118" s="209"/>
      <c r="AK118" s="172"/>
    </row>
    <row r="119" spans="2:37" ht="11.1" customHeight="1" x14ac:dyDescent="0.2">
      <c r="B119" s="209"/>
      <c r="C119" s="209"/>
      <c r="D119" s="208" t="s">
        <v>107</v>
      </c>
      <c r="F119" s="209"/>
      <c r="G119" s="209"/>
      <c r="H119" s="209"/>
      <c r="I119" s="209"/>
      <c r="J119" s="209"/>
      <c r="K119" s="209"/>
      <c r="AK119" s="172"/>
    </row>
    <row r="120" spans="2:37" ht="11.1" customHeight="1" x14ac:dyDescent="0.2"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AK120" s="172"/>
    </row>
  </sheetData>
  <sheetProtection algorithmName="SHA-512" hashValue="ClyjClQJ/GkyLSwvamQhEYywoRX9LZXlqp5XR1VGK3WTcczk7EoRcuqVH83ymFyrytRnhq0mAW2fmtic0e7cpA==" saltValue="mN+XHMDniBoUgyozqthu4Q==" spinCount="100000" sheet="1" objects="1" scenarios="1"/>
  <mergeCells count="167">
    <mergeCell ref="AK2:AK85"/>
    <mergeCell ref="B3:AJ3"/>
    <mergeCell ref="B4:M4"/>
    <mergeCell ref="N4:Z4"/>
    <mergeCell ref="AA4:AE4"/>
    <mergeCell ref="AF4:AJ4"/>
    <mergeCell ref="B5:M6"/>
    <mergeCell ref="N5:Z5"/>
    <mergeCell ref="AA5:AE5"/>
    <mergeCell ref="AF5:AJ5"/>
    <mergeCell ref="N6:Z6"/>
    <mergeCell ref="AA6:AE6"/>
    <mergeCell ref="AF6:AJ6"/>
    <mergeCell ref="B1:AJ1"/>
    <mergeCell ref="A2:A82"/>
    <mergeCell ref="B2:AJ2"/>
    <mergeCell ref="B11:M12"/>
    <mergeCell ref="N11:Z11"/>
    <mergeCell ref="AA11:AE11"/>
    <mergeCell ref="AF11:AJ11"/>
    <mergeCell ref="N12:Z12"/>
    <mergeCell ref="AA12:AE12"/>
    <mergeCell ref="AF12:AJ12"/>
    <mergeCell ref="B8:M9"/>
    <mergeCell ref="N8:Z8"/>
    <mergeCell ref="AA8:AE8"/>
    <mergeCell ref="AF8:AJ8"/>
    <mergeCell ref="N9:Z9"/>
    <mergeCell ref="AA9:AE9"/>
    <mergeCell ref="AF9:AJ9"/>
    <mergeCell ref="B17:M18"/>
    <mergeCell ref="N17:Z17"/>
    <mergeCell ref="AA17:AE17"/>
    <mergeCell ref="AF17:AJ17"/>
    <mergeCell ref="N18:Z18"/>
    <mergeCell ref="AA18:AE18"/>
    <mergeCell ref="AF18:AJ18"/>
    <mergeCell ref="B14:M15"/>
    <mergeCell ref="N14:Z14"/>
    <mergeCell ref="AA14:AE14"/>
    <mergeCell ref="AF14:AJ14"/>
    <mergeCell ref="N15:Z15"/>
    <mergeCell ref="AA15:AE15"/>
    <mergeCell ref="AF15:AJ15"/>
    <mergeCell ref="B23:M24"/>
    <mergeCell ref="N23:Z23"/>
    <mergeCell ref="AA23:AE23"/>
    <mergeCell ref="AF23:AJ23"/>
    <mergeCell ref="N24:Z24"/>
    <mergeCell ref="AA24:AE24"/>
    <mergeCell ref="AF24:AJ24"/>
    <mergeCell ref="B20:M21"/>
    <mergeCell ref="N20:Z20"/>
    <mergeCell ref="AA20:AE20"/>
    <mergeCell ref="AF20:AJ20"/>
    <mergeCell ref="N21:Z21"/>
    <mergeCell ref="AA21:AE21"/>
    <mergeCell ref="AF21:AJ21"/>
    <mergeCell ref="B29:M30"/>
    <mergeCell ref="N29:Z29"/>
    <mergeCell ref="AA29:AE29"/>
    <mergeCell ref="AF29:AJ29"/>
    <mergeCell ref="N30:Z30"/>
    <mergeCell ref="AA30:AE30"/>
    <mergeCell ref="AF30:AJ30"/>
    <mergeCell ref="B26:M27"/>
    <mergeCell ref="N26:Z26"/>
    <mergeCell ref="AA26:AE26"/>
    <mergeCell ref="AF26:AJ26"/>
    <mergeCell ref="N27:Z27"/>
    <mergeCell ref="AA27:AE27"/>
    <mergeCell ref="AF27:AJ27"/>
    <mergeCell ref="B35:Z35"/>
    <mergeCell ref="AA35:AE35"/>
    <mergeCell ref="AF35:AJ35"/>
    <mergeCell ref="B36:Z36"/>
    <mergeCell ref="AA36:AE36"/>
    <mergeCell ref="AF36:AJ36"/>
    <mergeCell ref="B32:M33"/>
    <mergeCell ref="N32:Z32"/>
    <mergeCell ref="AA32:AE32"/>
    <mergeCell ref="AF32:AJ32"/>
    <mergeCell ref="N33:Z33"/>
    <mergeCell ref="AA33:AE33"/>
    <mergeCell ref="AF33:AJ33"/>
    <mergeCell ref="B41:AJ41"/>
    <mergeCell ref="B42:Z42"/>
    <mergeCell ref="AA42:AE42"/>
    <mergeCell ref="AF42:AJ42"/>
    <mergeCell ref="B43:Z43"/>
    <mergeCell ref="AA43:AE45"/>
    <mergeCell ref="AF43:AJ45"/>
    <mergeCell ref="B44:Z45"/>
    <mergeCell ref="B38:Z38"/>
    <mergeCell ref="AA38:AE38"/>
    <mergeCell ref="AF38:AJ38"/>
    <mergeCell ref="B40:Z40"/>
    <mergeCell ref="AA40:AE40"/>
    <mergeCell ref="AF40:AJ40"/>
    <mergeCell ref="B52:Z52"/>
    <mergeCell ref="AA52:AJ52"/>
    <mergeCell ref="B53:Z53"/>
    <mergeCell ref="AA53:AE53"/>
    <mergeCell ref="AF53:AJ53"/>
    <mergeCell ref="B54:Z54"/>
    <mergeCell ref="AA54:AE54"/>
    <mergeCell ref="AF54:AJ54"/>
    <mergeCell ref="B46:Z46"/>
    <mergeCell ref="AA46:AE48"/>
    <mergeCell ref="AF46:AJ48"/>
    <mergeCell ref="B47:Z47"/>
    <mergeCell ref="B48:Z48"/>
    <mergeCell ref="B49:Z51"/>
    <mergeCell ref="AA49:AE51"/>
    <mergeCell ref="AF49:AJ51"/>
    <mergeCell ref="B60:AJ60"/>
    <mergeCell ref="B61:L61"/>
    <mergeCell ref="N61:AJ61"/>
    <mergeCell ref="B62:AJ62"/>
    <mergeCell ref="B63:L63"/>
    <mergeCell ref="N63:AJ63"/>
    <mergeCell ref="B55:AJ55"/>
    <mergeCell ref="B56:AJ56"/>
    <mergeCell ref="B57:AJ57"/>
    <mergeCell ref="B58:AJ58"/>
    <mergeCell ref="B59:L59"/>
    <mergeCell ref="N59:AJ59"/>
    <mergeCell ref="B66:AJ66"/>
    <mergeCell ref="B67:L67"/>
    <mergeCell ref="N67:P67"/>
    <mergeCell ref="Q67:S67"/>
    <mergeCell ref="T67:W67"/>
    <mergeCell ref="X67:Z67"/>
    <mergeCell ref="AA67:AJ67"/>
    <mergeCell ref="B64:AJ64"/>
    <mergeCell ref="B65:L65"/>
    <mergeCell ref="N65:P65"/>
    <mergeCell ref="Q65:S65"/>
    <mergeCell ref="T65:W65"/>
    <mergeCell ref="X65:Z65"/>
    <mergeCell ref="AA65:AJ65"/>
    <mergeCell ref="B71:L71"/>
    <mergeCell ref="N71:P71"/>
    <mergeCell ref="Q71:S71"/>
    <mergeCell ref="T71:W71"/>
    <mergeCell ref="X71:Z71"/>
    <mergeCell ref="B72:AJ72"/>
    <mergeCell ref="B68:AJ68"/>
    <mergeCell ref="B69:L69"/>
    <mergeCell ref="N69:P69"/>
    <mergeCell ref="Q69:S69"/>
    <mergeCell ref="T69:W69"/>
    <mergeCell ref="X69:Z69"/>
    <mergeCell ref="AA69:AJ69"/>
    <mergeCell ref="C81:J81"/>
    <mergeCell ref="T81:AH81"/>
    <mergeCell ref="B82:AJ82"/>
    <mergeCell ref="B73:AJ73"/>
    <mergeCell ref="B75:AJ75"/>
    <mergeCell ref="B76:AJ76"/>
    <mergeCell ref="B78:AJ78"/>
    <mergeCell ref="B79:B81"/>
    <mergeCell ref="C79:J79"/>
    <mergeCell ref="T79:AH79"/>
    <mergeCell ref="AJ79:AJ81"/>
    <mergeCell ref="C80:J80"/>
    <mergeCell ref="T80:AH80"/>
  </mergeCells>
  <dataValidations count="1">
    <dataValidation type="list" errorStyle="warning" allowBlank="1" showInputMessage="1" showErrorMessage="1" sqref="D113:D118" xr:uid="{20484430-05EB-45F1-A95B-B88064595F0A}">
      <formula1>#REF!</formula1>
    </dataValidation>
  </dataValidations>
  <hyperlinks>
    <hyperlink ref="B76" r:id="rId1" display="https://patrus-my.sharepoint.com/:x:/g/personal/jamilleribeiro_patrus_com_br/Ef9gqRviLEdPjFJ3QDepeqEBFHwT0GVzaM0nfgvu4Uf8hQ?e=AZJ4Y0" xr:uid="{CEB962C5-9B66-4102-A775-DFF57C059108}"/>
    <hyperlink ref="B76:AJ76" r:id="rId2" display="Generalidades Padrão" xr:uid="{6BD28BBA-1B92-48E8-949A-F69C0BEA236D}"/>
  </hyperlinks>
  <pageMargins left="0.23622047244094491" right="0.23622047244094491" top="0.74803149606299213" bottom="0.74803149606299213" header="0.31496062992125984" footer="0.31496062992125984"/>
  <pageSetup paperSize="9" scale="81" firstPageNumber="0" orientation="portrait" r:id="rId3"/>
  <headerFooter alignWithMargins="0">
    <oddHeader>&amp;L&amp;"Aptos"&amp;10&amp;K008000 Classificação: Pública&amp;1#_x000D_</oddHeader>
  </headerFooter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24DF-69A0-460E-9FF9-6F64DBE71CD8}">
  <sheetPr codeName="Plan8">
    <tabColor theme="0" tint="-0.249977111117893"/>
  </sheetPr>
  <dimension ref="B1:P142"/>
  <sheetViews>
    <sheetView showGridLines="0" showRowColHeaders="0" topLeftCell="A130" zoomScaleNormal="100" workbookViewId="0">
      <selection sqref="A1:AP1"/>
    </sheetView>
  </sheetViews>
  <sheetFormatPr defaultColWidth="8.7109375" defaultRowHeight="15" x14ac:dyDescent="0.25"/>
  <cols>
    <col min="1" max="1" width="1.7109375" style="212" customWidth="1"/>
    <col min="2" max="2" width="11.140625" style="217" customWidth="1"/>
    <col min="3" max="3" width="22.85546875" style="218" customWidth="1"/>
    <col min="4" max="4" width="85.7109375" style="219" customWidth="1"/>
    <col min="5" max="5" width="8.7109375" style="215"/>
    <col min="6" max="6" width="9.42578125" style="215" bestFit="1" customWidth="1"/>
    <col min="7" max="16" width="8.7109375" style="215"/>
    <col min="17" max="16384" width="8.7109375" style="212"/>
  </cols>
  <sheetData>
    <row r="1" spans="2:16" ht="5.25" customHeight="1" x14ac:dyDescent="0.25">
      <c r="B1" s="212"/>
      <c r="C1" s="213"/>
      <c r="D1" s="214"/>
    </row>
    <row r="2" spans="2:16" ht="33.950000000000003" customHeight="1" x14ac:dyDescent="0.25">
      <c r="B2" s="513" t="s">
        <v>108</v>
      </c>
      <c r="C2" s="513"/>
      <c r="D2" s="513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</row>
    <row r="3" spans="2:16" ht="3.2" customHeight="1" x14ac:dyDescent="0.25"/>
    <row r="4" spans="2:16" ht="24.75" customHeight="1" x14ac:dyDescent="0.25">
      <c r="B4" s="514" t="s">
        <v>109</v>
      </c>
      <c r="C4" s="514"/>
      <c r="D4" s="514"/>
    </row>
    <row r="5" spans="2:16" ht="3.2" customHeight="1" x14ac:dyDescent="0.25"/>
    <row r="6" spans="2:16" x14ac:dyDescent="0.25">
      <c r="B6" s="220" t="s">
        <v>110</v>
      </c>
      <c r="C6" s="221" t="s">
        <v>111</v>
      </c>
      <c r="D6" s="222" t="s">
        <v>112</v>
      </c>
    </row>
    <row r="7" spans="2:16" ht="14.25" customHeight="1" x14ac:dyDescent="0.25">
      <c r="B7" s="223">
        <v>1</v>
      </c>
      <c r="C7" s="224" t="s">
        <v>113</v>
      </c>
      <c r="D7" s="225" t="s">
        <v>114</v>
      </c>
    </row>
    <row r="8" spans="2:16" ht="14.25" customHeight="1" x14ac:dyDescent="0.25">
      <c r="B8" s="226">
        <v>2</v>
      </c>
      <c r="C8" s="227" t="s">
        <v>115</v>
      </c>
      <c r="D8" s="228" t="s">
        <v>116</v>
      </c>
    </row>
    <row r="9" spans="2:16" ht="14.25" customHeight="1" x14ac:dyDescent="0.25">
      <c r="B9" s="223">
        <v>3</v>
      </c>
      <c r="C9" s="224" t="s">
        <v>117</v>
      </c>
      <c r="D9" s="225" t="s">
        <v>118</v>
      </c>
    </row>
    <row r="10" spans="2:16" ht="14.25" customHeight="1" x14ac:dyDescent="0.25">
      <c r="B10" s="226">
        <v>4</v>
      </c>
      <c r="C10" s="227" t="s">
        <v>119</v>
      </c>
      <c r="D10" s="228" t="s">
        <v>120</v>
      </c>
    </row>
    <row r="11" spans="2:16" ht="14.25" customHeight="1" x14ac:dyDescent="0.25">
      <c r="B11" s="223">
        <v>5</v>
      </c>
      <c r="C11" s="224" t="s">
        <v>121</v>
      </c>
      <c r="D11" s="225" t="s">
        <v>122</v>
      </c>
    </row>
    <row r="12" spans="2:16" ht="14.25" customHeight="1" x14ac:dyDescent="0.25">
      <c r="B12" s="226">
        <v>6</v>
      </c>
      <c r="C12" s="227" t="s">
        <v>123</v>
      </c>
      <c r="D12" s="228" t="s">
        <v>124</v>
      </c>
    </row>
    <row r="13" spans="2:16" ht="14.25" customHeight="1" x14ac:dyDescent="0.25">
      <c r="B13" s="223">
        <v>7</v>
      </c>
      <c r="C13" s="224" t="s">
        <v>125</v>
      </c>
      <c r="D13" s="225" t="s">
        <v>126</v>
      </c>
    </row>
    <row r="14" spans="2:16" ht="14.25" customHeight="1" x14ac:dyDescent="0.25">
      <c r="B14" s="226">
        <v>8</v>
      </c>
      <c r="C14" s="227" t="s">
        <v>127</v>
      </c>
      <c r="D14" s="228" t="s">
        <v>128</v>
      </c>
    </row>
    <row r="15" spans="2:16" ht="14.25" customHeight="1" x14ac:dyDescent="0.25">
      <c r="B15" s="223">
        <v>9</v>
      </c>
      <c r="C15" s="224" t="s">
        <v>129</v>
      </c>
      <c r="D15" s="225" t="s">
        <v>130</v>
      </c>
    </row>
    <row r="16" spans="2:16" ht="14.25" customHeight="1" x14ac:dyDescent="0.25">
      <c r="B16" s="226">
        <v>10</v>
      </c>
      <c r="C16" s="227" t="s">
        <v>131</v>
      </c>
      <c r="D16" s="228" t="s">
        <v>132</v>
      </c>
    </row>
    <row r="17" spans="2:4" ht="14.25" customHeight="1" x14ac:dyDescent="0.25">
      <c r="B17" s="223">
        <v>11</v>
      </c>
      <c r="C17" s="224" t="s">
        <v>133</v>
      </c>
      <c r="D17" s="225" t="s">
        <v>134</v>
      </c>
    </row>
    <row r="18" spans="2:4" ht="14.25" customHeight="1" x14ac:dyDescent="0.25">
      <c r="B18" s="226">
        <v>12</v>
      </c>
      <c r="C18" s="227" t="s">
        <v>135</v>
      </c>
      <c r="D18" s="228" t="s">
        <v>136</v>
      </c>
    </row>
    <row r="19" spans="2:4" ht="14.25" customHeight="1" x14ac:dyDescent="0.25">
      <c r="B19" s="223">
        <v>13</v>
      </c>
      <c r="C19" s="224" t="s">
        <v>137</v>
      </c>
      <c r="D19" s="225" t="s">
        <v>138</v>
      </c>
    </row>
    <row r="20" spans="2:4" ht="14.25" customHeight="1" x14ac:dyDescent="0.25">
      <c r="B20" s="226">
        <v>14</v>
      </c>
      <c r="C20" s="227" t="s">
        <v>139</v>
      </c>
      <c r="D20" s="228" t="s">
        <v>140</v>
      </c>
    </row>
    <row r="21" spans="2:4" ht="14.25" customHeight="1" x14ac:dyDescent="0.25">
      <c r="B21" s="223">
        <v>15</v>
      </c>
      <c r="C21" s="224" t="s">
        <v>141</v>
      </c>
      <c r="D21" s="225" t="s">
        <v>142</v>
      </c>
    </row>
    <row r="22" spans="2:4" ht="14.25" customHeight="1" x14ac:dyDescent="0.25">
      <c r="B22" s="226">
        <v>16</v>
      </c>
      <c r="C22" s="227" t="s">
        <v>143</v>
      </c>
      <c r="D22" s="228" t="s">
        <v>144</v>
      </c>
    </row>
    <row r="23" spans="2:4" ht="14.25" customHeight="1" x14ac:dyDescent="0.25">
      <c r="B23" s="223">
        <v>17</v>
      </c>
      <c r="C23" s="224" t="s">
        <v>145</v>
      </c>
      <c r="D23" s="225" t="s">
        <v>146</v>
      </c>
    </row>
    <row r="24" spans="2:4" ht="14.25" customHeight="1" x14ac:dyDescent="0.25">
      <c r="B24" s="226">
        <v>18</v>
      </c>
      <c r="C24" s="227" t="s">
        <v>147</v>
      </c>
      <c r="D24" s="228" t="s">
        <v>148</v>
      </c>
    </row>
    <row r="25" spans="2:4" ht="14.25" customHeight="1" x14ac:dyDescent="0.25">
      <c r="B25" s="223">
        <v>19</v>
      </c>
      <c r="C25" s="224" t="s">
        <v>149</v>
      </c>
      <c r="D25" s="225" t="s">
        <v>150</v>
      </c>
    </row>
    <row r="26" spans="2:4" ht="14.25" customHeight="1" x14ac:dyDescent="0.25">
      <c r="B26" s="226">
        <v>20</v>
      </c>
      <c r="C26" s="227" t="s">
        <v>151</v>
      </c>
      <c r="D26" s="228" t="s">
        <v>152</v>
      </c>
    </row>
    <row r="27" spans="2:4" ht="14.25" customHeight="1" x14ac:dyDescent="0.25">
      <c r="B27" s="223">
        <v>21</v>
      </c>
      <c r="C27" s="224" t="s">
        <v>153</v>
      </c>
      <c r="D27" s="225" t="s">
        <v>154</v>
      </c>
    </row>
    <row r="28" spans="2:4" ht="14.25" customHeight="1" x14ac:dyDescent="0.25">
      <c r="B28" s="226">
        <v>22</v>
      </c>
      <c r="C28" s="227" t="s">
        <v>155</v>
      </c>
      <c r="D28" s="228" t="s">
        <v>156</v>
      </c>
    </row>
    <row r="29" spans="2:4" ht="14.25" customHeight="1" x14ac:dyDescent="0.25">
      <c r="B29" s="223">
        <v>23</v>
      </c>
      <c r="C29" s="224" t="s">
        <v>157</v>
      </c>
      <c r="D29" s="225" t="s">
        <v>158</v>
      </c>
    </row>
    <row r="30" spans="2:4" ht="14.25" customHeight="1" x14ac:dyDescent="0.25">
      <c r="B30" s="226">
        <v>24</v>
      </c>
      <c r="C30" s="227" t="s">
        <v>159</v>
      </c>
      <c r="D30" s="228" t="s">
        <v>160</v>
      </c>
    </row>
    <row r="31" spans="2:4" ht="14.25" customHeight="1" x14ac:dyDescent="0.25">
      <c r="B31" s="223">
        <v>25</v>
      </c>
      <c r="C31" s="224" t="s">
        <v>161</v>
      </c>
      <c r="D31" s="225" t="s">
        <v>162</v>
      </c>
    </row>
    <row r="32" spans="2:4" ht="14.25" customHeight="1" x14ac:dyDescent="0.25">
      <c r="B32" s="226">
        <v>26</v>
      </c>
      <c r="C32" s="227" t="s">
        <v>163</v>
      </c>
      <c r="D32" s="228" t="s">
        <v>164</v>
      </c>
    </row>
    <row r="33" spans="2:4" ht="14.25" customHeight="1" x14ac:dyDescent="0.25">
      <c r="B33" s="223">
        <v>27</v>
      </c>
      <c r="C33" s="224" t="s">
        <v>165</v>
      </c>
      <c r="D33" s="225" t="s">
        <v>166</v>
      </c>
    </row>
    <row r="34" spans="2:4" ht="14.25" customHeight="1" x14ac:dyDescent="0.25">
      <c r="B34" s="226">
        <v>28</v>
      </c>
      <c r="C34" s="227" t="s">
        <v>167</v>
      </c>
      <c r="D34" s="228" t="s">
        <v>168</v>
      </c>
    </row>
    <row r="35" spans="2:4" ht="14.25" customHeight="1" x14ac:dyDescent="0.25">
      <c r="B35" s="223">
        <v>29</v>
      </c>
      <c r="C35" s="224" t="s">
        <v>169</v>
      </c>
      <c r="D35" s="225" t="s">
        <v>170</v>
      </c>
    </row>
    <row r="36" spans="2:4" ht="14.25" customHeight="1" x14ac:dyDescent="0.25">
      <c r="B36" s="226">
        <v>30</v>
      </c>
      <c r="C36" s="227" t="s">
        <v>171</v>
      </c>
      <c r="D36" s="228" t="s">
        <v>172</v>
      </c>
    </row>
    <row r="37" spans="2:4" ht="14.25" customHeight="1" x14ac:dyDescent="0.25">
      <c r="B37" s="223">
        <v>31</v>
      </c>
      <c r="C37" s="224" t="s">
        <v>173</v>
      </c>
      <c r="D37" s="225" t="s">
        <v>174</v>
      </c>
    </row>
    <row r="38" spans="2:4" ht="14.25" customHeight="1" x14ac:dyDescent="0.25">
      <c r="B38" s="226">
        <v>32</v>
      </c>
      <c r="C38" s="227" t="s">
        <v>175</v>
      </c>
      <c r="D38" s="228" t="s">
        <v>176</v>
      </c>
    </row>
    <row r="39" spans="2:4" ht="14.25" customHeight="1" x14ac:dyDescent="0.25">
      <c r="B39" s="223">
        <v>33</v>
      </c>
      <c r="C39" s="224" t="s">
        <v>177</v>
      </c>
      <c r="D39" s="225" t="s">
        <v>178</v>
      </c>
    </row>
    <row r="40" spans="2:4" ht="14.25" customHeight="1" x14ac:dyDescent="0.25">
      <c r="B40" s="226">
        <v>34</v>
      </c>
      <c r="C40" s="227" t="s">
        <v>179</v>
      </c>
      <c r="D40" s="228" t="s">
        <v>180</v>
      </c>
    </row>
    <row r="41" spans="2:4" ht="14.25" customHeight="1" x14ac:dyDescent="0.25">
      <c r="B41" s="223">
        <v>35</v>
      </c>
      <c r="C41" s="224" t="s">
        <v>181</v>
      </c>
      <c r="D41" s="225" t="s">
        <v>182</v>
      </c>
    </row>
    <row r="42" spans="2:4" ht="14.25" customHeight="1" x14ac:dyDescent="0.25">
      <c r="B42" s="226">
        <v>36</v>
      </c>
      <c r="C42" s="227" t="s">
        <v>183</v>
      </c>
      <c r="D42" s="228" t="s">
        <v>184</v>
      </c>
    </row>
    <row r="43" spans="2:4" ht="14.25" customHeight="1" x14ac:dyDescent="0.25">
      <c r="B43" s="223">
        <v>37</v>
      </c>
      <c r="C43" s="224" t="s">
        <v>185</v>
      </c>
      <c r="D43" s="225" t="s">
        <v>186</v>
      </c>
    </row>
    <row r="44" spans="2:4" ht="14.25" customHeight="1" x14ac:dyDescent="0.25">
      <c r="B44" s="226">
        <v>38</v>
      </c>
      <c r="C44" s="227" t="s">
        <v>187</v>
      </c>
      <c r="D44" s="228" t="s">
        <v>188</v>
      </c>
    </row>
    <row r="45" spans="2:4" ht="14.25" customHeight="1" x14ac:dyDescent="0.25">
      <c r="B45" s="223">
        <v>39</v>
      </c>
      <c r="C45" s="224" t="s">
        <v>189</v>
      </c>
      <c r="D45" s="225" t="s">
        <v>190</v>
      </c>
    </row>
    <row r="46" spans="2:4" ht="14.25" customHeight="1" x14ac:dyDescent="0.25">
      <c r="B46" s="226">
        <v>40</v>
      </c>
      <c r="C46" s="227" t="s">
        <v>191</v>
      </c>
      <c r="D46" s="228" t="s">
        <v>192</v>
      </c>
    </row>
    <row r="47" spans="2:4" ht="14.25" customHeight="1" x14ac:dyDescent="0.25">
      <c r="B47" s="223">
        <v>41</v>
      </c>
      <c r="C47" s="224" t="s">
        <v>193</v>
      </c>
      <c r="D47" s="225" t="s">
        <v>194</v>
      </c>
    </row>
    <row r="48" spans="2:4" ht="14.25" customHeight="1" x14ac:dyDescent="0.25">
      <c r="B48" s="226">
        <v>42</v>
      </c>
      <c r="C48" s="227" t="s">
        <v>195</v>
      </c>
      <c r="D48" s="228" t="s">
        <v>196</v>
      </c>
    </row>
    <row r="49" spans="2:4" ht="14.25" customHeight="1" x14ac:dyDescent="0.25">
      <c r="B49" s="223">
        <v>43</v>
      </c>
      <c r="C49" s="224" t="s">
        <v>197</v>
      </c>
      <c r="D49" s="225" t="s">
        <v>198</v>
      </c>
    </row>
    <row r="50" spans="2:4" ht="14.25" customHeight="1" x14ac:dyDescent="0.25">
      <c r="B50" s="226">
        <v>44</v>
      </c>
      <c r="C50" s="227" t="s">
        <v>199</v>
      </c>
      <c r="D50" s="228" t="s">
        <v>200</v>
      </c>
    </row>
    <row r="51" spans="2:4" ht="14.25" customHeight="1" x14ac:dyDescent="0.25">
      <c r="B51" s="223">
        <v>45</v>
      </c>
      <c r="C51" s="224" t="s">
        <v>201</v>
      </c>
      <c r="D51" s="225" t="s">
        <v>202</v>
      </c>
    </row>
    <row r="52" spans="2:4" ht="14.25" customHeight="1" x14ac:dyDescent="0.25">
      <c r="B52" s="226">
        <v>46</v>
      </c>
      <c r="C52" s="227" t="s">
        <v>203</v>
      </c>
      <c r="D52" s="228" t="s">
        <v>204</v>
      </c>
    </row>
    <row r="53" spans="2:4" ht="14.25" customHeight="1" x14ac:dyDescent="0.25">
      <c r="B53" s="223">
        <v>47</v>
      </c>
      <c r="C53" s="224" t="s">
        <v>205</v>
      </c>
      <c r="D53" s="225" t="s">
        <v>206</v>
      </c>
    </row>
    <row r="54" spans="2:4" ht="14.25" customHeight="1" x14ac:dyDescent="0.25">
      <c r="B54" s="226">
        <v>48</v>
      </c>
      <c r="C54" s="227" t="s">
        <v>207</v>
      </c>
      <c r="D54" s="228" t="s">
        <v>208</v>
      </c>
    </row>
    <row r="55" spans="2:4" ht="14.25" customHeight="1" x14ac:dyDescent="0.25">
      <c r="B55" s="223">
        <v>49</v>
      </c>
      <c r="C55" s="224" t="s">
        <v>209</v>
      </c>
      <c r="D55" s="225" t="s">
        <v>210</v>
      </c>
    </row>
    <row r="56" spans="2:4" ht="14.25" customHeight="1" x14ac:dyDescent="0.25">
      <c r="B56" s="226">
        <v>50</v>
      </c>
      <c r="C56" s="227" t="s">
        <v>211</v>
      </c>
      <c r="D56" s="228" t="s">
        <v>212</v>
      </c>
    </row>
    <row r="57" spans="2:4" ht="14.25" customHeight="1" x14ac:dyDescent="0.25">
      <c r="B57" s="223">
        <v>51</v>
      </c>
      <c r="C57" s="224" t="s">
        <v>213</v>
      </c>
      <c r="D57" s="225" t="s">
        <v>214</v>
      </c>
    </row>
    <row r="58" spans="2:4" ht="14.25" customHeight="1" x14ac:dyDescent="0.25">
      <c r="B58" s="226">
        <v>52</v>
      </c>
      <c r="C58" s="227" t="s">
        <v>215</v>
      </c>
      <c r="D58" s="228" t="s">
        <v>216</v>
      </c>
    </row>
    <row r="59" spans="2:4" ht="14.25" customHeight="1" x14ac:dyDescent="0.25">
      <c r="B59" s="223">
        <v>53</v>
      </c>
      <c r="C59" s="224" t="s">
        <v>217</v>
      </c>
      <c r="D59" s="225" t="s">
        <v>218</v>
      </c>
    </row>
    <row r="60" spans="2:4" ht="14.25" customHeight="1" x14ac:dyDescent="0.25">
      <c r="B60" s="226">
        <v>54</v>
      </c>
      <c r="C60" s="227" t="s">
        <v>219</v>
      </c>
      <c r="D60" s="228" t="s">
        <v>220</v>
      </c>
    </row>
    <row r="61" spans="2:4" ht="14.25" customHeight="1" x14ac:dyDescent="0.25">
      <c r="B61" s="223">
        <v>55</v>
      </c>
      <c r="C61" s="224" t="s">
        <v>221</v>
      </c>
      <c r="D61" s="225" t="s">
        <v>222</v>
      </c>
    </row>
    <row r="62" spans="2:4" ht="14.25" customHeight="1" x14ac:dyDescent="0.25">
      <c r="B62" s="226">
        <v>56</v>
      </c>
      <c r="C62" s="227" t="s">
        <v>223</v>
      </c>
      <c r="D62" s="228" t="s">
        <v>224</v>
      </c>
    </row>
    <row r="63" spans="2:4" ht="14.25" customHeight="1" x14ac:dyDescent="0.25">
      <c r="B63" s="223">
        <v>57</v>
      </c>
      <c r="C63" s="224" t="s">
        <v>225</v>
      </c>
      <c r="D63" s="225" t="s">
        <v>226</v>
      </c>
    </row>
    <row r="64" spans="2:4" ht="14.25" customHeight="1" x14ac:dyDescent="0.25">
      <c r="B64" s="226">
        <v>58</v>
      </c>
      <c r="C64" s="227" t="s">
        <v>227</v>
      </c>
      <c r="D64" s="228" t="s">
        <v>228</v>
      </c>
    </row>
    <row r="65" spans="2:4" ht="14.25" customHeight="1" x14ac:dyDescent="0.25">
      <c r="B65" s="223">
        <v>59</v>
      </c>
      <c r="C65" s="224" t="s">
        <v>229</v>
      </c>
      <c r="D65" s="225" t="s">
        <v>230</v>
      </c>
    </row>
    <row r="66" spans="2:4" ht="14.25" customHeight="1" x14ac:dyDescent="0.25">
      <c r="B66" s="226">
        <v>60</v>
      </c>
      <c r="C66" s="227" t="s">
        <v>231</v>
      </c>
      <c r="D66" s="228" t="s">
        <v>232</v>
      </c>
    </row>
    <row r="67" spans="2:4" ht="14.25" customHeight="1" x14ac:dyDescent="0.25">
      <c r="B67" s="223">
        <v>61</v>
      </c>
      <c r="C67" s="224" t="s">
        <v>233</v>
      </c>
      <c r="D67" s="225" t="s">
        <v>234</v>
      </c>
    </row>
    <row r="68" spans="2:4" ht="14.25" customHeight="1" x14ac:dyDescent="0.25">
      <c r="B68" s="226">
        <v>62</v>
      </c>
      <c r="C68" s="227" t="s">
        <v>235</v>
      </c>
      <c r="D68" s="228" t="s">
        <v>236</v>
      </c>
    </row>
    <row r="69" spans="2:4" ht="14.25" customHeight="1" x14ac:dyDescent="0.25">
      <c r="B69" s="223">
        <v>63</v>
      </c>
      <c r="C69" s="224" t="s">
        <v>237</v>
      </c>
      <c r="D69" s="225" t="s">
        <v>238</v>
      </c>
    </row>
    <row r="70" spans="2:4" ht="14.25" customHeight="1" x14ac:dyDescent="0.25">
      <c r="B70" s="226">
        <v>64</v>
      </c>
      <c r="C70" s="227" t="s">
        <v>239</v>
      </c>
      <c r="D70" s="228" t="s">
        <v>240</v>
      </c>
    </row>
    <row r="71" spans="2:4" ht="14.25" customHeight="1" x14ac:dyDescent="0.25">
      <c r="B71" s="223">
        <v>65</v>
      </c>
      <c r="C71" s="224" t="s">
        <v>241</v>
      </c>
      <c r="D71" s="225" t="s">
        <v>242</v>
      </c>
    </row>
    <row r="72" spans="2:4" ht="14.25" customHeight="1" x14ac:dyDescent="0.25">
      <c r="B72" s="226">
        <v>66</v>
      </c>
      <c r="C72" s="227" t="s">
        <v>243</v>
      </c>
      <c r="D72" s="228" t="s">
        <v>244</v>
      </c>
    </row>
    <row r="73" spans="2:4" ht="14.25" customHeight="1" x14ac:dyDescent="0.25">
      <c r="B73" s="223">
        <v>67</v>
      </c>
      <c r="C73" s="224" t="s">
        <v>245</v>
      </c>
      <c r="D73" s="225" t="s">
        <v>246</v>
      </c>
    </row>
    <row r="74" spans="2:4" ht="14.25" customHeight="1" x14ac:dyDescent="0.25">
      <c r="B74" s="226">
        <v>68</v>
      </c>
      <c r="C74" s="227" t="s">
        <v>247</v>
      </c>
      <c r="D74" s="228" t="s">
        <v>248</v>
      </c>
    </row>
    <row r="75" spans="2:4" ht="14.25" customHeight="1" x14ac:dyDescent="0.25">
      <c r="B75" s="223">
        <v>69</v>
      </c>
      <c r="C75" s="224" t="s">
        <v>249</v>
      </c>
      <c r="D75" s="225" t="s">
        <v>250</v>
      </c>
    </row>
    <row r="76" spans="2:4" ht="14.25" customHeight="1" x14ac:dyDescent="0.25">
      <c r="B76" s="226">
        <v>70</v>
      </c>
      <c r="C76" s="227" t="s">
        <v>251</v>
      </c>
      <c r="D76" s="228" t="s">
        <v>252</v>
      </c>
    </row>
    <row r="77" spans="2:4" ht="14.25" customHeight="1" x14ac:dyDescent="0.25">
      <c r="B77" s="223">
        <v>71</v>
      </c>
      <c r="C77" s="224" t="s">
        <v>253</v>
      </c>
      <c r="D77" s="225" t="s">
        <v>254</v>
      </c>
    </row>
    <row r="78" spans="2:4" ht="14.25" customHeight="1" x14ac:dyDescent="0.25">
      <c r="B78" s="226">
        <v>72</v>
      </c>
      <c r="C78" s="227" t="s">
        <v>255</v>
      </c>
      <c r="D78" s="228" t="s">
        <v>256</v>
      </c>
    </row>
    <row r="79" spans="2:4" ht="14.25" customHeight="1" x14ac:dyDescent="0.25">
      <c r="B79" s="223">
        <v>73</v>
      </c>
      <c r="C79" s="224" t="s">
        <v>257</v>
      </c>
      <c r="D79" s="225" t="s">
        <v>258</v>
      </c>
    </row>
    <row r="80" spans="2:4" ht="14.25" customHeight="1" x14ac:dyDescent="0.25">
      <c r="B80" s="226">
        <v>74</v>
      </c>
      <c r="C80" s="227" t="s">
        <v>259</v>
      </c>
      <c r="D80" s="228" t="s">
        <v>260</v>
      </c>
    </row>
    <row r="81" spans="2:4" ht="14.25" customHeight="1" x14ac:dyDescent="0.25">
      <c r="B81" s="223">
        <v>75</v>
      </c>
      <c r="C81" s="224" t="s">
        <v>261</v>
      </c>
      <c r="D81" s="225" t="s">
        <v>262</v>
      </c>
    </row>
    <row r="82" spans="2:4" ht="14.25" customHeight="1" x14ac:dyDescent="0.25">
      <c r="B82" s="226">
        <v>76</v>
      </c>
      <c r="C82" s="227" t="s">
        <v>263</v>
      </c>
      <c r="D82" s="228" t="s">
        <v>264</v>
      </c>
    </row>
    <row r="83" spans="2:4" ht="14.25" customHeight="1" x14ac:dyDescent="0.25">
      <c r="B83" s="223">
        <v>77</v>
      </c>
      <c r="C83" s="224" t="s">
        <v>265</v>
      </c>
      <c r="D83" s="225" t="s">
        <v>266</v>
      </c>
    </row>
    <row r="84" spans="2:4" ht="14.25" customHeight="1" x14ac:dyDescent="0.25">
      <c r="B84" s="226">
        <v>78</v>
      </c>
      <c r="C84" s="227" t="s">
        <v>267</v>
      </c>
      <c r="D84" s="228" t="s">
        <v>268</v>
      </c>
    </row>
    <row r="85" spans="2:4" ht="14.25" customHeight="1" x14ac:dyDescent="0.25">
      <c r="B85" s="223">
        <v>79</v>
      </c>
      <c r="C85" s="224" t="s">
        <v>269</v>
      </c>
      <c r="D85" s="225" t="s">
        <v>270</v>
      </c>
    </row>
    <row r="86" spans="2:4" ht="14.25" customHeight="1" x14ac:dyDescent="0.25">
      <c r="B86" s="226">
        <v>80</v>
      </c>
      <c r="C86" s="227" t="s">
        <v>271</v>
      </c>
      <c r="D86" s="228" t="s">
        <v>272</v>
      </c>
    </row>
    <row r="87" spans="2:4" ht="14.25" customHeight="1" x14ac:dyDescent="0.25">
      <c r="B87" s="223">
        <v>81</v>
      </c>
      <c r="C87" s="224" t="s">
        <v>273</v>
      </c>
      <c r="D87" s="225" t="s">
        <v>274</v>
      </c>
    </row>
    <row r="88" spans="2:4" ht="14.25" customHeight="1" x14ac:dyDescent="0.25">
      <c r="B88" s="226">
        <v>82</v>
      </c>
      <c r="C88" s="227" t="s">
        <v>275</v>
      </c>
      <c r="D88" s="228" t="s">
        <v>276</v>
      </c>
    </row>
    <row r="89" spans="2:4" ht="14.25" customHeight="1" x14ac:dyDescent="0.25">
      <c r="B89" s="223">
        <v>83</v>
      </c>
      <c r="C89" s="224" t="s">
        <v>277</v>
      </c>
      <c r="D89" s="225" t="s">
        <v>278</v>
      </c>
    </row>
    <row r="90" spans="2:4" ht="14.25" customHeight="1" x14ac:dyDescent="0.25">
      <c r="B90" s="226">
        <v>84</v>
      </c>
      <c r="C90" s="227" t="s">
        <v>279</v>
      </c>
      <c r="D90" s="228" t="s">
        <v>280</v>
      </c>
    </row>
    <row r="91" spans="2:4" ht="14.25" customHeight="1" x14ac:dyDescent="0.25">
      <c r="B91" s="223">
        <v>85</v>
      </c>
      <c r="C91" s="224" t="s">
        <v>281</v>
      </c>
      <c r="D91" s="225" t="s">
        <v>282</v>
      </c>
    </row>
    <row r="92" spans="2:4" ht="14.25" customHeight="1" x14ac:dyDescent="0.25">
      <c r="B92" s="226">
        <v>86</v>
      </c>
      <c r="C92" s="227" t="s">
        <v>283</v>
      </c>
      <c r="D92" s="228" t="s">
        <v>284</v>
      </c>
    </row>
    <row r="93" spans="2:4" ht="14.25" customHeight="1" x14ac:dyDescent="0.25">
      <c r="B93" s="223">
        <v>87</v>
      </c>
      <c r="C93" s="224" t="s">
        <v>285</v>
      </c>
      <c r="D93" s="225" t="s">
        <v>286</v>
      </c>
    </row>
    <row r="94" spans="2:4" ht="14.25" customHeight="1" x14ac:dyDescent="0.25">
      <c r="B94" s="226">
        <v>88</v>
      </c>
      <c r="C94" s="227" t="s">
        <v>287</v>
      </c>
      <c r="D94" s="228" t="s">
        <v>288</v>
      </c>
    </row>
    <row r="95" spans="2:4" ht="14.25" customHeight="1" x14ac:dyDescent="0.25">
      <c r="B95" s="223">
        <v>89</v>
      </c>
      <c r="C95" s="224" t="s">
        <v>289</v>
      </c>
      <c r="D95" s="225" t="s">
        <v>290</v>
      </c>
    </row>
    <row r="96" spans="2:4" ht="14.25" customHeight="1" x14ac:dyDescent="0.25">
      <c r="B96" s="226">
        <v>90</v>
      </c>
      <c r="C96" s="227" t="s">
        <v>291</v>
      </c>
      <c r="D96" s="228" t="s">
        <v>292</v>
      </c>
    </row>
    <row r="97" spans="2:4" ht="14.25" customHeight="1" x14ac:dyDescent="0.25">
      <c r="B97" s="223">
        <v>91</v>
      </c>
      <c r="C97" s="224" t="s">
        <v>293</v>
      </c>
      <c r="D97" s="225" t="s">
        <v>294</v>
      </c>
    </row>
    <row r="98" spans="2:4" ht="14.25" customHeight="1" x14ac:dyDescent="0.25">
      <c r="B98" s="226">
        <v>92</v>
      </c>
      <c r="C98" s="227" t="s">
        <v>295</v>
      </c>
      <c r="D98" s="228" t="s">
        <v>296</v>
      </c>
    </row>
    <row r="99" spans="2:4" ht="14.25" customHeight="1" x14ac:dyDescent="0.25">
      <c r="B99" s="223">
        <v>93</v>
      </c>
      <c r="C99" s="224" t="s">
        <v>297</v>
      </c>
      <c r="D99" s="225" t="s">
        <v>298</v>
      </c>
    </row>
    <row r="100" spans="2:4" ht="14.25" customHeight="1" x14ac:dyDescent="0.25">
      <c r="B100" s="226">
        <v>94</v>
      </c>
      <c r="C100" s="227" t="s">
        <v>299</v>
      </c>
      <c r="D100" s="228" t="s">
        <v>300</v>
      </c>
    </row>
    <row r="101" spans="2:4" ht="14.25" customHeight="1" x14ac:dyDescent="0.25">
      <c r="B101" s="223">
        <v>95</v>
      </c>
      <c r="C101" s="224" t="s">
        <v>301</v>
      </c>
      <c r="D101" s="225" t="s">
        <v>302</v>
      </c>
    </row>
    <row r="102" spans="2:4" ht="14.25" customHeight="1" x14ac:dyDescent="0.25">
      <c r="B102" s="226">
        <v>96</v>
      </c>
      <c r="C102" s="227" t="s">
        <v>303</v>
      </c>
      <c r="D102" s="228" t="s">
        <v>304</v>
      </c>
    </row>
    <row r="103" spans="2:4" ht="14.25" customHeight="1" x14ac:dyDescent="0.25">
      <c r="B103" s="223">
        <v>97</v>
      </c>
      <c r="C103" s="224" t="s">
        <v>305</v>
      </c>
      <c r="D103" s="225" t="s">
        <v>306</v>
      </c>
    </row>
    <row r="104" spans="2:4" ht="14.25" customHeight="1" x14ac:dyDescent="0.25">
      <c r="B104" s="226">
        <v>98</v>
      </c>
      <c r="C104" s="227" t="s">
        <v>307</v>
      </c>
      <c r="D104" s="228" t="s">
        <v>308</v>
      </c>
    </row>
    <row r="105" spans="2:4" ht="14.25" customHeight="1" x14ac:dyDescent="0.25">
      <c r="B105" s="223">
        <v>99</v>
      </c>
      <c r="C105" s="224" t="s">
        <v>309</v>
      </c>
      <c r="D105" s="225" t="s">
        <v>310</v>
      </c>
    </row>
    <row r="106" spans="2:4" ht="14.25" customHeight="1" x14ac:dyDescent="0.25">
      <c r="B106" s="226">
        <v>100</v>
      </c>
      <c r="C106" s="227" t="s">
        <v>311</v>
      </c>
      <c r="D106" s="228" t="s">
        <v>312</v>
      </c>
    </row>
    <row r="107" spans="2:4" ht="14.25" customHeight="1" x14ac:dyDescent="0.25">
      <c r="B107" s="223">
        <v>101</v>
      </c>
      <c r="C107" s="224" t="s">
        <v>313</v>
      </c>
      <c r="D107" s="225" t="s">
        <v>314</v>
      </c>
    </row>
    <row r="108" spans="2:4" ht="14.25" customHeight="1" x14ac:dyDescent="0.25">
      <c r="B108" s="226">
        <v>102</v>
      </c>
      <c r="C108" s="227" t="s">
        <v>315</v>
      </c>
      <c r="D108" s="228" t="s">
        <v>316</v>
      </c>
    </row>
    <row r="109" spans="2:4" ht="14.25" customHeight="1" x14ac:dyDescent="0.25">
      <c r="B109" s="223">
        <v>103</v>
      </c>
      <c r="C109" s="224" t="s">
        <v>317</v>
      </c>
      <c r="D109" s="225" t="s">
        <v>318</v>
      </c>
    </row>
    <row r="110" spans="2:4" ht="14.25" customHeight="1" x14ac:dyDescent="0.25">
      <c r="B110" s="226">
        <v>104</v>
      </c>
      <c r="C110" s="227" t="s">
        <v>319</v>
      </c>
      <c r="D110" s="228" t="s">
        <v>320</v>
      </c>
    </row>
    <row r="111" spans="2:4" ht="14.25" customHeight="1" x14ac:dyDescent="0.25">
      <c r="B111" s="223">
        <v>105</v>
      </c>
      <c r="C111" s="224" t="s">
        <v>321</v>
      </c>
      <c r="D111" s="225" t="s">
        <v>322</v>
      </c>
    </row>
    <row r="112" spans="2:4" ht="14.25" customHeight="1" x14ac:dyDescent="0.25">
      <c r="B112" s="226">
        <v>106</v>
      </c>
      <c r="C112" s="227" t="s">
        <v>323</v>
      </c>
      <c r="D112" s="228" t="s">
        <v>324</v>
      </c>
    </row>
    <row r="113" spans="2:4" ht="14.25" customHeight="1" x14ac:dyDescent="0.25">
      <c r="B113" s="223">
        <v>107</v>
      </c>
      <c r="C113" s="224" t="s">
        <v>325</v>
      </c>
      <c r="D113" s="225" t="s">
        <v>326</v>
      </c>
    </row>
    <row r="114" spans="2:4" ht="14.25" customHeight="1" x14ac:dyDescent="0.25">
      <c r="B114" s="226">
        <v>108</v>
      </c>
      <c r="C114" s="227" t="s">
        <v>327</v>
      </c>
      <c r="D114" s="228" t="s">
        <v>326</v>
      </c>
    </row>
    <row r="115" spans="2:4" ht="14.25" customHeight="1" x14ac:dyDescent="0.25">
      <c r="B115" s="223">
        <v>109</v>
      </c>
      <c r="C115" s="224" t="s">
        <v>328</v>
      </c>
      <c r="D115" s="225" t="s">
        <v>326</v>
      </c>
    </row>
    <row r="116" spans="2:4" ht="14.25" customHeight="1" x14ac:dyDescent="0.25">
      <c r="B116" s="226">
        <v>110</v>
      </c>
      <c r="C116" s="227" t="s">
        <v>329</v>
      </c>
      <c r="D116" s="228" t="s">
        <v>326</v>
      </c>
    </row>
    <row r="117" spans="2:4" ht="14.25" customHeight="1" x14ac:dyDescent="0.25">
      <c r="B117" s="223">
        <v>111</v>
      </c>
      <c r="C117" s="224" t="s">
        <v>330</v>
      </c>
      <c r="D117" s="225" t="s">
        <v>331</v>
      </c>
    </row>
    <row r="118" spans="2:4" ht="14.25" customHeight="1" x14ac:dyDescent="0.25">
      <c r="B118" s="226">
        <v>112</v>
      </c>
      <c r="C118" s="227" t="s">
        <v>332</v>
      </c>
      <c r="D118" s="228" t="s">
        <v>333</v>
      </c>
    </row>
    <row r="119" spans="2:4" ht="14.25" customHeight="1" x14ac:dyDescent="0.25">
      <c r="B119" s="223">
        <v>113</v>
      </c>
      <c r="C119" s="224" t="s">
        <v>334</v>
      </c>
      <c r="D119" s="225" t="s">
        <v>335</v>
      </c>
    </row>
    <row r="120" spans="2:4" ht="14.25" customHeight="1" x14ac:dyDescent="0.25">
      <c r="B120" s="226">
        <v>114</v>
      </c>
      <c r="C120" s="227" t="s">
        <v>336</v>
      </c>
      <c r="D120" s="228" t="s">
        <v>337</v>
      </c>
    </row>
    <row r="121" spans="2:4" ht="14.25" customHeight="1" x14ac:dyDescent="0.25">
      <c r="B121" s="223">
        <v>115</v>
      </c>
      <c r="C121" s="224" t="s">
        <v>338</v>
      </c>
      <c r="D121" s="225" t="s">
        <v>339</v>
      </c>
    </row>
    <row r="122" spans="2:4" ht="14.25" customHeight="1" x14ac:dyDescent="0.25">
      <c r="B122" s="226">
        <v>116</v>
      </c>
      <c r="C122" s="227" t="s">
        <v>340</v>
      </c>
      <c r="D122" s="228" t="s">
        <v>341</v>
      </c>
    </row>
    <row r="123" spans="2:4" ht="14.25" customHeight="1" x14ac:dyDescent="0.25">
      <c r="B123" s="223">
        <v>117</v>
      </c>
      <c r="C123" s="224" t="s">
        <v>342</v>
      </c>
      <c r="D123" s="225" t="s">
        <v>343</v>
      </c>
    </row>
    <row r="124" spans="2:4" ht="14.25" customHeight="1" x14ac:dyDescent="0.25">
      <c r="B124" s="226">
        <v>118</v>
      </c>
      <c r="C124" s="227" t="s">
        <v>344</v>
      </c>
      <c r="D124" s="228" t="s">
        <v>345</v>
      </c>
    </row>
    <row r="125" spans="2:4" ht="14.25" customHeight="1" x14ac:dyDescent="0.25">
      <c r="B125" s="223">
        <v>119</v>
      </c>
      <c r="C125" s="224" t="s">
        <v>346</v>
      </c>
      <c r="D125" s="225" t="s">
        <v>347</v>
      </c>
    </row>
    <row r="126" spans="2:4" ht="14.25" customHeight="1" x14ac:dyDescent="0.25">
      <c r="B126" s="226">
        <v>120</v>
      </c>
      <c r="C126" s="227" t="s">
        <v>348</v>
      </c>
      <c r="D126" s="228" t="s">
        <v>349</v>
      </c>
    </row>
    <row r="127" spans="2:4" ht="14.25" customHeight="1" x14ac:dyDescent="0.25">
      <c r="B127" s="223">
        <v>121</v>
      </c>
      <c r="C127" s="224" t="s">
        <v>350</v>
      </c>
      <c r="D127" s="225" t="s">
        <v>351</v>
      </c>
    </row>
    <row r="128" spans="2:4" ht="14.25" customHeight="1" x14ac:dyDescent="0.25">
      <c r="B128" s="226">
        <v>122</v>
      </c>
      <c r="C128" s="227" t="s">
        <v>352</v>
      </c>
      <c r="D128" s="228" t="s">
        <v>353</v>
      </c>
    </row>
    <row r="129" spans="2:4" ht="14.25" customHeight="1" x14ac:dyDescent="0.25">
      <c r="B129" s="223">
        <v>123</v>
      </c>
      <c r="C129" s="224" t="s">
        <v>354</v>
      </c>
      <c r="D129" s="225" t="s">
        <v>355</v>
      </c>
    </row>
    <row r="130" spans="2:4" ht="14.25" customHeight="1" x14ac:dyDescent="0.25">
      <c r="B130" s="226">
        <v>124</v>
      </c>
      <c r="C130" s="227" t="s">
        <v>356</v>
      </c>
      <c r="D130" s="228" t="s">
        <v>357</v>
      </c>
    </row>
    <row r="131" spans="2:4" ht="14.25" customHeight="1" x14ac:dyDescent="0.25">
      <c r="B131" s="223">
        <v>125</v>
      </c>
      <c r="C131" s="224" t="s">
        <v>358</v>
      </c>
      <c r="D131" s="225" t="s">
        <v>359</v>
      </c>
    </row>
    <row r="132" spans="2:4" ht="14.25" customHeight="1" x14ac:dyDescent="0.25">
      <c r="B132" s="226">
        <v>126</v>
      </c>
      <c r="C132" s="227" t="s">
        <v>360</v>
      </c>
      <c r="D132" s="228" t="s">
        <v>361</v>
      </c>
    </row>
    <row r="133" spans="2:4" ht="14.25" customHeight="1" x14ac:dyDescent="0.25">
      <c r="B133" s="223">
        <v>127</v>
      </c>
      <c r="C133" s="224" t="s">
        <v>269</v>
      </c>
      <c r="D133" s="225" t="s">
        <v>362</v>
      </c>
    </row>
    <row r="134" spans="2:4" ht="14.25" customHeight="1" x14ac:dyDescent="0.25">
      <c r="B134" s="229">
        <v>128</v>
      </c>
      <c r="C134" s="230" t="s">
        <v>363</v>
      </c>
      <c r="D134" s="231" t="s">
        <v>364</v>
      </c>
    </row>
    <row r="135" spans="2:4" x14ac:dyDescent="0.25">
      <c r="B135" s="223">
        <v>129</v>
      </c>
      <c r="C135" s="224" t="s">
        <v>365</v>
      </c>
      <c r="D135" s="225" t="s">
        <v>366</v>
      </c>
    </row>
    <row r="136" spans="2:4" x14ac:dyDescent="0.25">
      <c r="B136" s="229">
        <v>130</v>
      </c>
      <c r="C136" s="230" t="s">
        <v>367</v>
      </c>
      <c r="D136" s="231" t="s">
        <v>368</v>
      </c>
    </row>
    <row r="137" spans="2:4" x14ac:dyDescent="0.25">
      <c r="B137" s="223">
        <v>131</v>
      </c>
      <c r="C137" s="224" t="s">
        <v>369</v>
      </c>
      <c r="D137" s="225" t="s">
        <v>370</v>
      </c>
    </row>
    <row r="138" spans="2:4" x14ac:dyDescent="0.25">
      <c r="B138" s="229">
        <v>132</v>
      </c>
      <c r="C138" s="230" t="s">
        <v>371</v>
      </c>
      <c r="D138" s="231" t="s">
        <v>372</v>
      </c>
    </row>
    <row r="139" spans="2:4" x14ac:dyDescent="0.25">
      <c r="B139" s="223">
        <v>133</v>
      </c>
      <c r="C139" s="224" t="s">
        <v>373</v>
      </c>
      <c r="D139" s="225" t="s">
        <v>374</v>
      </c>
    </row>
    <row r="140" spans="2:4" x14ac:dyDescent="0.25">
      <c r="B140" s="229">
        <v>134</v>
      </c>
      <c r="C140" s="230" t="s">
        <v>375</v>
      </c>
      <c r="D140" s="231" t="s">
        <v>376</v>
      </c>
    </row>
    <row r="141" spans="2:4" x14ac:dyDescent="0.25">
      <c r="B141" s="223">
        <v>135</v>
      </c>
      <c r="C141" s="224" t="s">
        <v>377</v>
      </c>
      <c r="D141" s="225" t="s">
        <v>378</v>
      </c>
    </row>
    <row r="142" spans="2:4" x14ac:dyDescent="0.25">
      <c r="B142" s="229">
        <v>136</v>
      </c>
      <c r="C142" s="230" t="s">
        <v>379</v>
      </c>
      <c r="D142" s="231" t="s">
        <v>380</v>
      </c>
    </row>
  </sheetData>
  <sheetProtection algorithmName="SHA-512" hashValue="gjQ39Usc6hS5aMJWj+t/Lyst8ggqKkbslZYqvdC6h/kZbFHXvZjH7caoVTRLgb1BAY+bgRcFPtmaw6bet5TdLA==" saltValue="Dx/5dT+OND01eJoEe7RaAg==" spinCount="100000" sheet="1" autoFilter="0"/>
  <autoFilter ref="B6:D134" xr:uid="{00000000-0009-0000-0000-00002B000000}"/>
  <mergeCells count="2">
    <mergeCell ref="B2:D2"/>
    <mergeCell ref="B4:D4"/>
  </mergeCells>
  <conditionalFormatting sqref="C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{72FAF850-033E-4BBB-BEF6-4028D663D7C3}</x14:id>
        </ext>
      </extLst>
    </cfRule>
  </conditionalFormatting>
  <conditionalFormatting sqref="C7:C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{49CC46B9-9AFF-45B6-9CAA-1DE70C56552E}</x14:id>
        </ext>
      </extLst>
    </cfRule>
  </conditionalFormatting>
  <conditionalFormatting sqref="C9:C94 C97:C14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{11ED2DA5-E0D3-40A3-865A-D002AE163FB2}</x14:id>
        </ext>
      </extLst>
    </cfRule>
  </conditionalFormatting>
  <conditionalFormatting sqref="C9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{DC1F786E-A451-4DCD-B5B3-C036AF32404F}</x14:id>
        </ext>
      </extLst>
    </cfRule>
  </conditionalFormatting>
  <conditionalFormatting sqref="C9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{90A68878-94D9-4D3C-8FB3-BEB7B24F22B6}</x14:id>
        </ext>
      </extLst>
    </cfRule>
  </conditionalFormatting>
  <conditionalFormatting sqref="D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{9717D448-6AD2-4C8C-8D3B-D49744B26055}</x14:id>
        </ext>
      </extLst>
    </cfRule>
  </conditionalFormatting>
  <conditionalFormatting sqref="D7:D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{A565DB29-72BE-4DE1-A0B5-908FF0CCD4D2}</x14:id>
        </ext>
      </extLst>
    </cfRule>
  </conditionalFormatting>
  <conditionalFormatting sqref="D9:D94 D97:D14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{089892F2-8AC7-427C-91B1-D01DF357BEE9}</x14:id>
        </ext>
      </extLst>
    </cfRule>
  </conditionalFormatting>
  <conditionalFormatting sqref="D9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{5291D508-6402-47D4-BA70-1C053470F786}</x14:id>
        </ext>
      </extLst>
    </cfRule>
  </conditionalFormatting>
  <conditionalFormatting sqref="D9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{1F0A3185-1B7D-4996-A017-683300FFDC53}</x14:id>
        </ext>
      </extLst>
    </cfRule>
  </conditionalFormatting>
  <pageMargins left="0.39370078740157483" right="0.39370078740157483" top="0.39370078740157483" bottom="0.39370078740157483" header="0" footer="0"/>
  <pageSetup paperSize="9" scale="81" orientation="portrait" r:id="rId1"/>
  <headerFooter>
    <oddHeader>&amp;L&amp;"Aptos"&amp;10&amp;K008000 Classificação: Pública&amp;1#_x000D_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FAF850-033E-4BBB-BEF6-4028D663D7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  <x14:conditionalFormatting xmlns:xm="http://schemas.microsoft.com/office/excel/2006/main">
          <x14:cfRule type="dataBar" id="{49CC46B9-9AFF-45B6-9CAA-1DE70C5655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C7:C8</xm:sqref>
        </x14:conditionalFormatting>
        <x14:conditionalFormatting xmlns:xm="http://schemas.microsoft.com/office/excel/2006/main">
          <x14:cfRule type="dataBar" id="{11ED2DA5-E0D3-40A3-865A-D002AE163F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C9:C94 C97:C142</xm:sqref>
        </x14:conditionalFormatting>
        <x14:conditionalFormatting xmlns:xm="http://schemas.microsoft.com/office/excel/2006/main">
          <x14:cfRule type="dataBar" id="{DC1F786E-A451-4DCD-B5B3-C036AF3240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C95</xm:sqref>
        </x14:conditionalFormatting>
        <x14:conditionalFormatting xmlns:xm="http://schemas.microsoft.com/office/excel/2006/main">
          <x14:cfRule type="dataBar" id="{90A68878-94D9-4D3C-8FB3-BEB7B24F22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C96</xm:sqref>
        </x14:conditionalFormatting>
        <x14:conditionalFormatting xmlns:xm="http://schemas.microsoft.com/office/excel/2006/main">
          <x14:cfRule type="dataBar" id="{9717D448-6AD2-4C8C-8D3B-D49744B26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</xm:sqref>
        </x14:conditionalFormatting>
        <x14:conditionalFormatting xmlns:xm="http://schemas.microsoft.com/office/excel/2006/main">
          <x14:cfRule type="dataBar" id="{A565DB29-72BE-4DE1-A0B5-908FF0CCD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D7:D8</xm:sqref>
        </x14:conditionalFormatting>
        <x14:conditionalFormatting xmlns:xm="http://schemas.microsoft.com/office/excel/2006/main">
          <x14:cfRule type="dataBar" id="{089892F2-8AC7-427C-91B1-D01DF357BE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D9:D94 D97:D142</xm:sqref>
        </x14:conditionalFormatting>
        <x14:conditionalFormatting xmlns:xm="http://schemas.microsoft.com/office/excel/2006/main">
          <x14:cfRule type="dataBar" id="{5291D508-6402-47D4-BA70-1C053470F7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D95</xm:sqref>
        </x14:conditionalFormatting>
        <x14:conditionalFormatting xmlns:xm="http://schemas.microsoft.com/office/excel/2006/main">
          <x14:cfRule type="dataBar" id="{1F0A3185-1B7D-4996-A017-683300FFDC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A01A-56D5-4627-AEBF-494949D8C04D}">
  <sheetPr codeName="Plan7">
    <tabColor theme="0" tint="-0.14999847407452621"/>
  </sheetPr>
  <dimension ref="A1:M318"/>
  <sheetViews>
    <sheetView showGridLines="0" showRowColHeaders="0" zoomScaleNormal="100" zoomScaleSheetLayoutView="120" workbookViewId="0">
      <selection sqref="A1:AP1"/>
    </sheetView>
  </sheetViews>
  <sheetFormatPr defaultColWidth="8.7109375" defaultRowHeight="12" x14ac:dyDescent="0.2"/>
  <cols>
    <col min="1" max="1" width="1.42578125" style="232" customWidth="1"/>
    <col min="2" max="2" width="6.42578125" style="232" customWidth="1"/>
    <col min="3" max="3" width="4.85546875" style="232" bestFit="1" customWidth="1"/>
    <col min="4" max="4" width="14.85546875" style="232" bestFit="1" customWidth="1"/>
    <col min="5" max="5" width="13" style="232" customWidth="1"/>
    <col min="6" max="6" width="10" style="232" customWidth="1"/>
    <col min="7" max="7" width="3.7109375" style="233" customWidth="1"/>
    <col min="8" max="9" width="3.7109375" style="232" customWidth="1"/>
    <col min="10" max="10" width="18.7109375" style="232" customWidth="1"/>
    <col min="11" max="11" width="6.7109375" style="232" customWidth="1"/>
    <col min="12" max="12" width="11.42578125" style="232" customWidth="1"/>
    <col min="13" max="13" width="18.7109375" style="232" customWidth="1"/>
    <col min="14" max="16384" width="8.7109375" style="232"/>
  </cols>
  <sheetData>
    <row r="1" spans="1:13" ht="5.25" customHeight="1" x14ac:dyDescent="0.2">
      <c r="M1" s="234"/>
    </row>
    <row r="2" spans="1:13" ht="25.5" customHeight="1" x14ac:dyDescent="0.2">
      <c r="A2" s="235"/>
      <c r="B2" s="515" t="s">
        <v>381</v>
      </c>
      <c r="C2" s="515"/>
      <c r="D2" s="515"/>
      <c r="E2" s="515"/>
      <c r="F2" s="515"/>
      <c r="G2" s="235"/>
      <c r="H2" s="516" t="s">
        <v>382</v>
      </c>
      <c r="I2" s="516"/>
      <c r="J2" s="516"/>
      <c r="K2" s="516"/>
      <c r="L2" s="516"/>
      <c r="M2" s="235"/>
    </row>
    <row r="3" spans="1:13" ht="2.25" customHeight="1" x14ac:dyDescent="0.2">
      <c r="M3" s="234"/>
    </row>
    <row r="4" spans="1:13" s="238" customFormat="1" ht="9.9499999999999993" customHeight="1" x14ac:dyDescent="0.2">
      <c r="A4" s="236"/>
      <c r="B4" s="517" t="s">
        <v>383</v>
      </c>
      <c r="C4" s="517"/>
      <c r="D4" s="517"/>
      <c r="E4" s="517"/>
      <c r="F4" s="237">
        <f>COUNTA(D7:D296)</f>
        <v>49</v>
      </c>
      <c r="G4" s="236"/>
      <c r="H4" s="517" t="s">
        <v>384</v>
      </c>
      <c r="I4" s="517"/>
      <c r="J4" s="517"/>
      <c r="K4" s="517"/>
      <c r="L4" s="237">
        <f>COUNTA('EMEX e TRT'!$J$7:$J$317)</f>
        <v>194</v>
      </c>
    </row>
    <row r="5" spans="1:13" s="238" customFormat="1" ht="3.95" customHeight="1" x14ac:dyDescent="0.2">
      <c r="A5" s="236"/>
      <c r="B5" s="239"/>
      <c r="C5" s="239"/>
      <c r="D5" s="239"/>
      <c r="E5" s="239"/>
      <c r="F5" s="240"/>
      <c r="G5" s="236"/>
      <c r="H5" s="239"/>
      <c r="I5" s="239"/>
      <c r="J5" s="239"/>
      <c r="K5" s="239"/>
      <c r="L5" s="240"/>
    </row>
    <row r="6" spans="1:13" s="246" customFormat="1" x14ac:dyDescent="0.2">
      <c r="A6" s="241"/>
      <c r="B6" s="242" t="s">
        <v>385</v>
      </c>
      <c r="C6" s="243" t="s">
        <v>386</v>
      </c>
      <c r="D6" s="244" t="s">
        <v>387</v>
      </c>
      <c r="E6" s="244" t="s">
        <v>388</v>
      </c>
      <c r="F6" s="245" t="s">
        <v>389</v>
      </c>
      <c r="G6" s="241"/>
      <c r="H6" s="242" t="s">
        <v>385</v>
      </c>
      <c r="I6" s="243" t="s">
        <v>386</v>
      </c>
      <c r="J6" s="244" t="s">
        <v>387</v>
      </c>
      <c r="K6" s="244" t="s">
        <v>388</v>
      </c>
      <c r="L6" s="245" t="s">
        <v>389</v>
      </c>
    </row>
    <row r="7" spans="1:13" ht="11.1" customHeight="1" x14ac:dyDescent="0.2">
      <c r="A7" s="247"/>
      <c r="B7" s="248" t="s">
        <v>390</v>
      </c>
      <c r="C7" s="249" t="s">
        <v>391</v>
      </c>
      <c r="D7" s="250" t="s">
        <v>392</v>
      </c>
      <c r="E7" s="251">
        <v>26110005</v>
      </c>
      <c r="F7" s="252">
        <v>26196340</v>
      </c>
      <c r="G7" s="247"/>
      <c r="H7" s="253" t="s">
        <v>393</v>
      </c>
      <c r="I7" s="254" t="s">
        <v>394</v>
      </c>
      <c r="J7" s="255" t="s">
        <v>395</v>
      </c>
      <c r="K7" s="254">
        <v>46830000</v>
      </c>
      <c r="L7" s="256">
        <v>46830000</v>
      </c>
    </row>
    <row r="8" spans="1:13" ht="11.1" customHeight="1" x14ac:dyDescent="0.2">
      <c r="A8" s="247"/>
      <c r="B8" s="257" t="s">
        <v>390</v>
      </c>
      <c r="C8" s="258" t="s">
        <v>391</v>
      </c>
      <c r="D8" s="259" t="s">
        <v>396</v>
      </c>
      <c r="E8" s="258">
        <v>28680000</v>
      </c>
      <c r="F8" s="260">
        <v>28695970</v>
      </c>
      <c r="G8" s="247"/>
      <c r="H8" s="261" t="s">
        <v>393</v>
      </c>
      <c r="I8" s="262" t="s">
        <v>397</v>
      </c>
      <c r="J8" s="263" t="s">
        <v>398</v>
      </c>
      <c r="K8" s="262">
        <v>47800001</v>
      </c>
      <c r="L8" s="264">
        <v>47819899</v>
      </c>
    </row>
    <row r="9" spans="1:13" ht="11.1" customHeight="1" x14ac:dyDescent="0.2">
      <c r="A9" s="247"/>
      <c r="B9" s="265" t="s">
        <v>390</v>
      </c>
      <c r="C9" s="266" t="s">
        <v>391</v>
      </c>
      <c r="D9" s="267" t="s">
        <v>399</v>
      </c>
      <c r="E9" s="268">
        <v>25010000</v>
      </c>
      <c r="F9" s="269">
        <v>25275740</v>
      </c>
      <c r="G9" s="247"/>
      <c r="H9" s="270" t="s">
        <v>393</v>
      </c>
      <c r="I9" s="271" t="s">
        <v>400</v>
      </c>
      <c r="J9" s="272" t="s">
        <v>401</v>
      </c>
      <c r="K9" s="271">
        <v>42800001</v>
      </c>
      <c r="L9" s="273">
        <v>42841991</v>
      </c>
    </row>
    <row r="10" spans="1:13" ht="11.1" customHeight="1" x14ac:dyDescent="0.2">
      <c r="A10" s="247"/>
      <c r="B10" s="257" t="s">
        <v>390</v>
      </c>
      <c r="C10" s="258" t="s">
        <v>391</v>
      </c>
      <c r="D10" s="259" t="s">
        <v>402</v>
      </c>
      <c r="E10" s="274">
        <v>25940050</v>
      </c>
      <c r="F10" s="275">
        <v>25949885</v>
      </c>
      <c r="G10" s="247"/>
      <c r="H10" s="261" t="s">
        <v>393</v>
      </c>
      <c r="I10" s="262" t="s">
        <v>394</v>
      </c>
      <c r="J10" s="263" t="s">
        <v>403</v>
      </c>
      <c r="K10" s="262">
        <v>44001001</v>
      </c>
      <c r="L10" s="264">
        <v>44118970</v>
      </c>
    </row>
    <row r="11" spans="1:13" ht="11.1" customHeight="1" x14ac:dyDescent="0.2">
      <c r="A11" s="247"/>
      <c r="B11" s="265" t="s">
        <v>390</v>
      </c>
      <c r="C11" s="266" t="s">
        <v>404</v>
      </c>
      <c r="D11" s="267" t="s">
        <v>405</v>
      </c>
      <c r="E11" s="266">
        <v>24800001</v>
      </c>
      <c r="F11" s="276">
        <v>24878140</v>
      </c>
      <c r="G11" s="247"/>
      <c r="H11" s="270" t="s">
        <v>393</v>
      </c>
      <c r="I11" s="271" t="s">
        <v>406</v>
      </c>
      <c r="J11" s="272" t="s">
        <v>407</v>
      </c>
      <c r="K11" s="271">
        <v>45600002</v>
      </c>
      <c r="L11" s="273">
        <v>45614899</v>
      </c>
    </row>
    <row r="12" spans="1:13" ht="11.1" customHeight="1" x14ac:dyDescent="0.2">
      <c r="A12" s="247"/>
      <c r="B12" s="257" t="s">
        <v>390</v>
      </c>
      <c r="C12" s="258" t="s">
        <v>391</v>
      </c>
      <c r="D12" s="259" t="s">
        <v>408</v>
      </c>
      <c r="E12" s="274">
        <v>23810000</v>
      </c>
      <c r="F12" s="275">
        <v>23855380</v>
      </c>
      <c r="G12" s="247"/>
      <c r="H12" s="261" t="s">
        <v>393</v>
      </c>
      <c r="I12" s="262" t="s">
        <v>409</v>
      </c>
      <c r="J12" s="263" t="s">
        <v>410</v>
      </c>
      <c r="K12" s="262">
        <v>48900002</v>
      </c>
      <c r="L12" s="264">
        <v>48923970</v>
      </c>
    </row>
    <row r="13" spans="1:13" ht="11.1" customHeight="1" x14ac:dyDescent="0.2">
      <c r="A13" s="247"/>
      <c r="B13" s="265" t="s">
        <v>390</v>
      </c>
      <c r="C13" s="266" t="s">
        <v>391</v>
      </c>
      <c r="D13" s="267" t="s">
        <v>411</v>
      </c>
      <c r="E13" s="268">
        <v>26410000</v>
      </c>
      <c r="F13" s="269">
        <v>26495400</v>
      </c>
      <c r="G13" s="247"/>
      <c r="H13" s="270" t="s">
        <v>393</v>
      </c>
      <c r="I13" s="271" t="s">
        <v>400</v>
      </c>
      <c r="J13" s="272" t="s">
        <v>412</v>
      </c>
      <c r="K13" s="271">
        <v>42700000</v>
      </c>
      <c r="L13" s="273">
        <v>42741270</v>
      </c>
    </row>
    <row r="14" spans="1:13" ht="11.1" customHeight="1" x14ac:dyDescent="0.2">
      <c r="A14" s="247"/>
      <c r="B14" s="257" t="s">
        <v>390</v>
      </c>
      <c r="C14" s="258" t="s">
        <v>391</v>
      </c>
      <c r="D14" s="259" t="s">
        <v>413</v>
      </c>
      <c r="E14" s="274">
        <v>25900001</v>
      </c>
      <c r="F14" s="275">
        <v>25938360</v>
      </c>
      <c r="G14" s="247"/>
      <c r="H14" s="261" t="s">
        <v>393</v>
      </c>
      <c r="I14" s="262" t="s">
        <v>400</v>
      </c>
      <c r="J14" s="263" t="s">
        <v>414</v>
      </c>
      <c r="K14" s="262">
        <v>40010000</v>
      </c>
      <c r="L14" s="264">
        <v>42510280</v>
      </c>
    </row>
    <row r="15" spans="1:13" ht="11.1" customHeight="1" x14ac:dyDescent="0.2">
      <c r="A15" s="247"/>
      <c r="B15" s="265" t="s">
        <v>390</v>
      </c>
      <c r="C15" s="266" t="s">
        <v>391</v>
      </c>
      <c r="D15" s="267" t="s">
        <v>415</v>
      </c>
      <c r="E15" s="268">
        <v>23860000</v>
      </c>
      <c r="F15" s="269">
        <v>23885970</v>
      </c>
      <c r="G15" s="247"/>
      <c r="H15" s="270" t="s">
        <v>393</v>
      </c>
      <c r="I15" s="271" t="s">
        <v>416</v>
      </c>
      <c r="J15" s="272" t="s">
        <v>417</v>
      </c>
      <c r="K15" s="271">
        <v>44430070</v>
      </c>
      <c r="L15" s="273">
        <v>44574899</v>
      </c>
    </row>
    <row r="16" spans="1:13" ht="11.1" customHeight="1" x14ac:dyDescent="0.2">
      <c r="A16" s="247"/>
      <c r="B16" s="257" t="s">
        <v>390</v>
      </c>
      <c r="C16" s="258" t="s">
        <v>404</v>
      </c>
      <c r="D16" s="259" t="s">
        <v>418</v>
      </c>
      <c r="E16" s="274">
        <v>24900001</v>
      </c>
      <c r="F16" s="275">
        <v>24945000</v>
      </c>
      <c r="G16" s="247"/>
      <c r="H16" s="261" t="s">
        <v>393</v>
      </c>
      <c r="I16" s="262" t="s">
        <v>419</v>
      </c>
      <c r="J16" s="263" t="s">
        <v>420</v>
      </c>
      <c r="K16" s="262">
        <v>45000010</v>
      </c>
      <c r="L16" s="264">
        <v>45099899</v>
      </c>
    </row>
    <row r="17" spans="1:12" ht="11.1" customHeight="1" x14ac:dyDescent="0.2">
      <c r="A17" s="247"/>
      <c r="B17" s="265" t="s">
        <v>390</v>
      </c>
      <c r="C17" s="266" t="s">
        <v>391</v>
      </c>
      <c r="D17" s="267" t="s">
        <v>421</v>
      </c>
      <c r="E17" s="268">
        <v>26550007</v>
      </c>
      <c r="F17" s="269">
        <v>26587855</v>
      </c>
      <c r="G17" s="247"/>
      <c r="H17" s="270" t="s">
        <v>422</v>
      </c>
      <c r="I17" s="271" t="s">
        <v>423</v>
      </c>
      <c r="J17" s="272" t="s">
        <v>424</v>
      </c>
      <c r="K17" s="271">
        <v>60010000</v>
      </c>
      <c r="L17" s="273">
        <v>60878100</v>
      </c>
    </row>
    <row r="18" spans="1:12" ht="11.1" customHeight="1" x14ac:dyDescent="0.2">
      <c r="A18" s="247"/>
      <c r="B18" s="257" t="s">
        <v>390</v>
      </c>
      <c r="C18" s="258" t="s">
        <v>391</v>
      </c>
      <c r="D18" s="259" t="s">
        <v>425</v>
      </c>
      <c r="E18" s="274">
        <v>26510000</v>
      </c>
      <c r="F18" s="275">
        <v>26545790</v>
      </c>
      <c r="G18" s="247"/>
      <c r="H18" s="261" t="s">
        <v>422</v>
      </c>
      <c r="I18" s="262" t="s">
        <v>426</v>
      </c>
      <c r="J18" s="263" t="s">
        <v>427</v>
      </c>
      <c r="K18" s="262">
        <v>63010000</v>
      </c>
      <c r="L18" s="264">
        <v>63079899</v>
      </c>
    </row>
    <row r="19" spans="1:12" ht="11.1" customHeight="1" x14ac:dyDescent="0.2">
      <c r="A19" s="247"/>
      <c r="B19" s="265" t="s">
        <v>390</v>
      </c>
      <c r="C19" s="266" t="s">
        <v>404</v>
      </c>
      <c r="D19" s="267" t="s">
        <v>428</v>
      </c>
      <c r="E19" s="268">
        <v>24003900</v>
      </c>
      <c r="F19" s="269">
        <v>24370700</v>
      </c>
      <c r="G19" s="247"/>
      <c r="H19" s="270" t="s">
        <v>422</v>
      </c>
      <c r="I19" s="271" t="s">
        <v>429</v>
      </c>
      <c r="J19" s="272" t="s">
        <v>430</v>
      </c>
      <c r="K19" s="271">
        <v>62010001</v>
      </c>
      <c r="L19" s="273">
        <v>62113000</v>
      </c>
    </row>
    <row r="20" spans="1:12" ht="11.1" customHeight="1" x14ac:dyDescent="0.2">
      <c r="A20" s="247"/>
      <c r="B20" s="257" t="s">
        <v>390</v>
      </c>
      <c r="C20" s="258" t="s">
        <v>391</v>
      </c>
      <c r="D20" s="259" t="s">
        <v>431</v>
      </c>
      <c r="E20" s="274">
        <v>26010003</v>
      </c>
      <c r="F20" s="275">
        <v>26299315</v>
      </c>
      <c r="G20" s="247"/>
      <c r="H20" s="261" t="s">
        <v>432</v>
      </c>
      <c r="I20" s="262" t="s">
        <v>433</v>
      </c>
      <c r="J20" s="263" t="s">
        <v>434</v>
      </c>
      <c r="K20" s="262">
        <v>29300020</v>
      </c>
      <c r="L20" s="264">
        <v>29327980</v>
      </c>
    </row>
    <row r="21" spans="1:12" ht="11.1" customHeight="1" x14ac:dyDescent="0.2">
      <c r="A21" s="247"/>
      <c r="B21" s="265" t="s">
        <v>390</v>
      </c>
      <c r="C21" s="266" t="s">
        <v>435</v>
      </c>
      <c r="D21" s="267" t="s">
        <v>436</v>
      </c>
      <c r="E21" s="268">
        <v>26600000</v>
      </c>
      <c r="F21" s="269">
        <v>26600990</v>
      </c>
      <c r="G21" s="247"/>
      <c r="H21" s="270" t="s">
        <v>432</v>
      </c>
      <c r="I21" s="271" t="s">
        <v>437</v>
      </c>
      <c r="J21" s="272" t="s">
        <v>438</v>
      </c>
      <c r="K21" s="271">
        <v>29700005</v>
      </c>
      <c r="L21" s="273">
        <v>29719899</v>
      </c>
    </row>
    <row r="22" spans="1:12" ht="11.1" customHeight="1" x14ac:dyDescent="0.2">
      <c r="A22" s="247"/>
      <c r="B22" s="257" t="s">
        <v>390</v>
      </c>
      <c r="C22" s="258" t="s">
        <v>391</v>
      </c>
      <c r="D22" s="259" t="s">
        <v>439</v>
      </c>
      <c r="E22" s="274">
        <v>26310000</v>
      </c>
      <c r="F22" s="275">
        <v>26397480</v>
      </c>
      <c r="G22" s="247"/>
      <c r="H22" s="261" t="s">
        <v>432</v>
      </c>
      <c r="I22" s="262" t="s">
        <v>440</v>
      </c>
      <c r="J22" s="263" t="s">
        <v>441</v>
      </c>
      <c r="K22" s="262">
        <v>29160004</v>
      </c>
      <c r="L22" s="264">
        <v>29184899</v>
      </c>
    </row>
    <row r="23" spans="1:12" ht="11.1" customHeight="1" x14ac:dyDescent="0.2">
      <c r="A23" s="247"/>
      <c r="B23" s="265" t="s">
        <v>390</v>
      </c>
      <c r="C23" s="266" t="s">
        <v>404</v>
      </c>
      <c r="D23" s="267" t="s">
        <v>442</v>
      </c>
      <c r="E23" s="268">
        <v>28800000</v>
      </c>
      <c r="F23" s="269">
        <v>28810970</v>
      </c>
      <c r="G23" s="247"/>
      <c r="H23" s="270" t="s">
        <v>432</v>
      </c>
      <c r="I23" s="271" t="s">
        <v>440</v>
      </c>
      <c r="J23" s="272" t="s">
        <v>443</v>
      </c>
      <c r="K23" s="271">
        <v>29100010</v>
      </c>
      <c r="L23" s="273">
        <v>29129899</v>
      </c>
    </row>
    <row r="24" spans="1:12" ht="11.1" customHeight="1" x14ac:dyDescent="0.2">
      <c r="A24" s="247"/>
      <c r="B24" s="257" t="s">
        <v>390</v>
      </c>
      <c r="C24" s="258" t="s">
        <v>391</v>
      </c>
      <c r="D24" s="259" t="s">
        <v>444</v>
      </c>
      <c r="E24" s="274">
        <v>20010000</v>
      </c>
      <c r="F24" s="275">
        <v>23598570</v>
      </c>
      <c r="G24" s="247"/>
      <c r="H24" s="261" t="s">
        <v>432</v>
      </c>
      <c r="I24" s="262" t="s">
        <v>440</v>
      </c>
      <c r="J24" s="263" t="s">
        <v>445</v>
      </c>
      <c r="K24" s="262">
        <v>29000971</v>
      </c>
      <c r="L24" s="264">
        <v>29092920</v>
      </c>
    </row>
    <row r="25" spans="1:12" ht="11.1" customHeight="1" x14ac:dyDescent="0.2">
      <c r="A25" s="247"/>
      <c r="B25" s="265" t="s">
        <v>390</v>
      </c>
      <c r="C25" s="266" t="s">
        <v>404</v>
      </c>
      <c r="D25" s="267" t="s">
        <v>446</v>
      </c>
      <c r="E25" s="268">
        <v>24410000</v>
      </c>
      <c r="F25" s="269">
        <v>24778510</v>
      </c>
      <c r="G25" s="247"/>
      <c r="H25" s="270" t="s">
        <v>447</v>
      </c>
      <c r="I25" s="271" t="s">
        <v>448</v>
      </c>
      <c r="J25" s="272" t="s">
        <v>449</v>
      </c>
      <c r="K25" s="271">
        <v>38440001</v>
      </c>
      <c r="L25" s="273">
        <v>38449899</v>
      </c>
    </row>
    <row r="26" spans="1:12" ht="11.1" customHeight="1" x14ac:dyDescent="0.2">
      <c r="A26" s="247"/>
      <c r="B26" s="257" t="s">
        <v>390</v>
      </c>
      <c r="C26" s="258" t="s">
        <v>391</v>
      </c>
      <c r="D26" s="259" t="s">
        <v>450</v>
      </c>
      <c r="E26" s="258">
        <v>25510000</v>
      </c>
      <c r="F26" s="260">
        <v>25599900</v>
      </c>
      <c r="G26" s="247"/>
      <c r="H26" s="261" t="s">
        <v>447</v>
      </c>
      <c r="I26" s="262" t="s">
        <v>451</v>
      </c>
      <c r="J26" s="263" t="s">
        <v>452</v>
      </c>
      <c r="K26" s="262">
        <v>38180001</v>
      </c>
      <c r="L26" s="264">
        <v>38184899</v>
      </c>
    </row>
    <row r="27" spans="1:12" ht="11.1" customHeight="1" x14ac:dyDescent="0.2">
      <c r="A27" s="247"/>
      <c r="B27" s="265" t="s">
        <v>390</v>
      </c>
      <c r="C27" s="266" t="s">
        <v>391</v>
      </c>
      <c r="D27" s="267" t="s">
        <v>453</v>
      </c>
      <c r="E27" s="268">
        <v>23890001</v>
      </c>
      <c r="F27" s="269">
        <v>23899072</v>
      </c>
      <c r="G27" s="247"/>
      <c r="H27" s="270" t="s">
        <v>447</v>
      </c>
      <c r="I27" s="271" t="s">
        <v>454</v>
      </c>
      <c r="J27" s="272" t="s">
        <v>455</v>
      </c>
      <c r="K27" s="271">
        <v>30001970</v>
      </c>
      <c r="L27" s="273">
        <v>31999899</v>
      </c>
    </row>
    <row r="28" spans="1:12" ht="11.1" customHeight="1" x14ac:dyDescent="0.2">
      <c r="A28" s="247"/>
      <c r="B28" s="257" t="s">
        <v>390</v>
      </c>
      <c r="C28" s="258" t="s">
        <v>404</v>
      </c>
      <c r="D28" s="259" t="s">
        <v>456</v>
      </c>
      <c r="E28" s="274">
        <v>24890000</v>
      </c>
      <c r="F28" s="275">
        <v>24890975</v>
      </c>
      <c r="G28" s="247"/>
      <c r="H28" s="261" t="s">
        <v>447</v>
      </c>
      <c r="I28" s="262" t="s">
        <v>454</v>
      </c>
      <c r="J28" s="263" t="s">
        <v>457</v>
      </c>
      <c r="K28" s="262">
        <v>32600002</v>
      </c>
      <c r="L28" s="264">
        <v>32699899</v>
      </c>
    </row>
    <row r="29" spans="1:12" ht="11.1" customHeight="1" x14ac:dyDescent="0.2">
      <c r="A29" s="247"/>
      <c r="B29" s="270" t="s">
        <v>422</v>
      </c>
      <c r="C29" s="271" t="s">
        <v>423</v>
      </c>
      <c r="D29" s="272" t="s">
        <v>458</v>
      </c>
      <c r="E29" s="271">
        <v>61700000</v>
      </c>
      <c r="F29" s="273">
        <v>61759999</v>
      </c>
      <c r="G29" s="247"/>
      <c r="H29" s="270" t="s">
        <v>447</v>
      </c>
      <c r="I29" s="271" t="s">
        <v>459</v>
      </c>
      <c r="J29" s="272" t="s">
        <v>460</v>
      </c>
      <c r="K29" s="271">
        <v>35600000</v>
      </c>
      <c r="L29" s="273">
        <v>35600973</v>
      </c>
    </row>
    <row r="30" spans="1:12" ht="11.1" customHeight="1" x14ac:dyDescent="0.2">
      <c r="A30" s="247"/>
      <c r="B30" s="261" t="s">
        <v>422</v>
      </c>
      <c r="C30" s="262" t="s">
        <v>423</v>
      </c>
      <c r="D30" s="263" t="s">
        <v>461</v>
      </c>
      <c r="E30" s="262">
        <v>62850000</v>
      </c>
      <c r="F30" s="264">
        <v>62859999</v>
      </c>
      <c r="G30" s="247"/>
      <c r="H30" s="261" t="s">
        <v>447</v>
      </c>
      <c r="I30" s="262" t="s">
        <v>462</v>
      </c>
      <c r="J30" s="263" t="s">
        <v>463</v>
      </c>
      <c r="K30" s="262">
        <v>35300001</v>
      </c>
      <c r="L30" s="264">
        <v>35322970</v>
      </c>
    </row>
    <row r="31" spans="1:12" ht="11.1" customHeight="1" x14ac:dyDescent="0.2">
      <c r="A31" s="247"/>
      <c r="B31" s="270" t="s">
        <v>422</v>
      </c>
      <c r="C31" s="271" t="s">
        <v>423</v>
      </c>
      <c r="D31" s="272" t="s">
        <v>464</v>
      </c>
      <c r="E31" s="271">
        <v>616000001</v>
      </c>
      <c r="F31" s="273">
        <v>61699999</v>
      </c>
      <c r="G31" s="247"/>
      <c r="H31" s="270" t="s">
        <v>447</v>
      </c>
      <c r="I31" s="271" t="s">
        <v>465</v>
      </c>
      <c r="J31" s="272" t="s">
        <v>466</v>
      </c>
      <c r="K31" s="271">
        <v>36400000</v>
      </c>
      <c r="L31" s="273">
        <v>36409976</v>
      </c>
    </row>
    <row r="32" spans="1:12" ht="11.1" customHeight="1" x14ac:dyDescent="0.2">
      <c r="A32" s="247"/>
      <c r="B32" s="261" t="s">
        <v>422</v>
      </c>
      <c r="C32" s="262" t="s">
        <v>423</v>
      </c>
      <c r="D32" s="263" t="s">
        <v>467</v>
      </c>
      <c r="E32" s="262">
        <v>62875000</v>
      </c>
      <c r="F32" s="264">
        <v>62879999</v>
      </c>
      <c r="G32" s="247"/>
      <c r="H32" s="261" t="s">
        <v>447</v>
      </c>
      <c r="I32" s="262" t="s">
        <v>454</v>
      </c>
      <c r="J32" s="263" t="s">
        <v>468</v>
      </c>
      <c r="K32" s="262">
        <v>32001970</v>
      </c>
      <c r="L32" s="264">
        <v>32399899</v>
      </c>
    </row>
    <row r="33" spans="1:12" ht="11.1" customHeight="1" x14ac:dyDescent="0.2">
      <c r="A33" s="247"/>
      <c r="B33" s="270" t="s">
        <v>422</v>
      </c>
      <c r="C33" s="271" t="s">
        <v>423</v>
      </c>
      <c r="D33" s="272" t="s">
        <v>469</v>
      </c>
      <c r="E33" s="271">
        <v>617600001</v>
      </c>
      <c r="F33" s="273">
        <v>61799999</v>
      </c>
      <c r="G33" s="247"/>
      <c r="H33" s="270" t="s">
        <v>447</v>
      </c>
      <c r="I33" s="271" t="s">
        <v>470</v>
      </c>
      <c r="J33" s="272" t="s">
        <v>471</v>
      </c>
      <c r="K33" s="271">
        <v>35170001</v>
      </c>
      <c r="L33" s="273">
        <v>35175899</v>
      </c>
    </row>
    <row r="34" spans="1:12" ht="11.1" customHeight="1" x14ac:dyDescent="0.2">
      <c r="A34" s="247"/>
      <c r="B34" s="261" t="s">
        <v>422</v>
      </c>
      <c r="C34" s="262" t="s">
        <v>423</v>
      </c>
      <c r="D34" s="263" t="s">
        <v>424</v>
      </c>
      <c r="E34" s="262">
        <v>60000001</v>
      </c>
      <c r="F34" s="264">
        <v>61599999</v>
      </c>
      <c r="G34" s="247"/>
      <c r="H34" s="261" t="s">
        <v>447</v>
      </c>
      <c r="I34" s="262" t="s">
        <v>472</v>
      </c>
      <c r="J34" s="263" t="s">
        <v>473</v>
      </c>
      <c r="K34" s="262">
        <v>39100000</v>
      </c>
      <c r="L34" s="264">
        <v>39100971</v>
      </c>
    </row>
    <row r="35" spans="1:12" ht="11.1" customHeight="1" x14ac:dyDescent="0.2">
      <c r="A35" s="247"/>
      <c r="B35" s="270" t="s">
        <v>422</v>
      </c>
      <c r="C35" s="271" t="s">
        <v>423</v>
      </c>
      <c r="D35" s="272" t="s">
        <v>474</v>
      </c>
      <c r="E35" s="271">
        <v>61890000</v>
      </c>
      <c r="F35" s="273">
        <v>61899999</v>
      </c>
      <c r="G35" s="247"/>
      <c r="H35" s="270" t="s">
        <v>447</v>
      </c>
      <c r="I35" s="271" t="s">
        <v>475</v>
      </c>
      <c r="J35" s="272" t="s">
        <v>476</v>
      </c>
      <c r="K35" s="271">
        <v>36001970</v>
      </c>
      <c r="L35" s="273">
        <v>36099899</v>
      </c>
    </row>
    <row r="36" spans="1:12" ht="11.1" customHeight="1" x14ac:dyDescent="0.2">
      <c r="A36" s="247"/>
      <c r="B36" s="261" t="s">
        <v>422</v>
      </c>
      <c r="C36" s="262" t="s">
        <v>423</v>
      </c>
      <c r="D36" s="263" t="s">
        <v>477</v>
      </c>
      <c r="E36" s="262">
        <v>61880000</v>
      </c>
      <c r="F36" s="264">
        <v>61889999</v>
      </c>
      <c r="G36" s="247"/>
      <c r="H36" s="261" t="s">
        <v>447</v>
      </c>
      <c r="I36" s="262" t="s">
        <v>478</v>
      </c>
      <c r="J36" s="263" t="s">
        <v>479</v>
      </c>
      <c r="K36" s="262">
        <v>39400001</v>
      </c>
      <c r="L36" s="264">
        <v>39409899</v>
      </c>
    </row>
    <row r="37" spans="1:12" ht="11.1" customHeight="1" x14ac:dyDescent="0.2">
      <c r="A37" s="247"/>
      <c r="B37" s="270" t="s">
        <v>422</v>
      </c>
      <c r="C37" s="271" t="s">
        <v>423</v>
      </c>
      <c r="D37" s="272" t="s">
        <v>480</v>
      </c>
      <c r="E37" s="271">
        <v>619000001</v>
      </c>
      <c r="F37" s="273">
        <v>61939999</v>
      </c>
      <c r="G37" s="247"/>
      <c r="H37" s="270" t="s">
        <v>447</v>
      </c>
      <c r="I37" s="271" t="s">
        <v>454</v>
      </c>
      <c r="J37" s="272" t="s">
        <v>481</v>
      </c>
      <c r="K37" s="271">
        <v>34000000</v>
      </c>
      <c r="L37" s="273">
        <v>34019899</v>
      </c>
    </row>
    <row r="38" spans="1:12" ht="11.1" customHeight="1" x14ac:dyDescent="0.2">
      <c r="A38" s="247"/>
      <c r="B38" s="261" t="s">
        <v>422</v>
      </c>
      <c r="C38" s="262" t="s">
        <v>423</v>
      </c>
      <c r="D38" s="263" t="s">
        <v>482</v>
      </c>
      <c r="E38" s="262">
        <v>61940001</v>
      </c>
      <c r="F38" s="264">
        <v>61999999</v>
      </c>
      <c r="G38" s="247"/>
      <c r="H38" s="261" t="s">
        <v>447</v>
      </c>
      <c r="I38" s="262" t="s">
        <v>465</v>
      </c>
      <c r="J38" s="263" t="s">
        <v>483</v>
      </c>
      <c r="K38" s="262">
        <v>35400000</v>
      </c>
      <c r="L38" s="264">
        <v>35523296</v>
      </c>
    </row>
    <row r="39" spans="1:12" ht="11.1" customHeight="1" x14ac:dyDescent="0.2">
      <c r="A39" s="247"/>
      <c r="B39" s="270" t="s">
        <v>422</v>
      </c>
      <c r="C39" s="271" t="s">
        <v>423</v>
      </c>
      <c r="D39" s="272" t="s">
        <v>484</v>
      </c>
      <c r="E39" s="271">
        <v>62870000</v>
      </c>
      <c r="F39" s="273">
        <v>62874999</v>
      </c>
      <c r="G39" s="247"/>
      <c r="H39" s="270" t="s">
        <v>447</v>
      </c>
      <c r="I39" s="271" t="s">
        <v>459</v>
      </c>
      <c r="J39" s="272" t="s">
        <v>485</v>
      </c>
      <c r="K39" s="271">
        <v>35650000</v>
      </c>
      <c r="L39" s="273">
        <v>35650000</v>
      </c>
    </row>
    <row r="40" spans="1:12" ht="11.1" customHeight="1" x14ac:dyDescent="0.2">
      <c r="A40" s="247"/>
      <c r="B40" s="261" t="s">
        <v>422</v>
      </c>
      <c r="C40" s="262" t="s">
        <v>423</v>
      </c>
      <c r="D40" s="263" t="s">
        <v>486</v>
      </c>
      <c r="E40" s="262">
        <v>61800001</v>
      </c>
      <c r="F40" s="264">
        <v>61879999</v>
      </c>
      <c r="G40" s="247"/>
      <c r="H40" s="261" t="s">
        <v>447</v>
      </c>
      <c r="I40" s="262" t="s">
        <v>487</v>
      </c>
      <c r="J40" s="263" t="s">
        <v>488</v>
      </c>
      <c r="K40" s="262">
        <v>37700390</v>
      </c>
      <c r="L40" s="264">
        <v>37719900</v>
      </c>
    </row>
    <row r="41" spans="1:12" ht="11.1" customHeight="1" x14ac:dyDescent="0.2">
      <c r="A41" s="247"/>
      <c r="B41" s="270" t="s">
        <v>422</v>
      </c>
      <c r="C41" s="271" t="s">
        <v>423</v>
      </c>
      <c r="D41" s="272" t="s">
        <v>489</v>
      </c>
      <c r="E41" s="271">
        <v>62860000</v>
      </c>
      <c r="F41" s="273">
        <v>62869999</v>
      </c>
      <c r="G41" s="247"/>
      <c r="H41" s="270" t="s">
        <v>447</v>
      </c>
      <c r="I41" s="271" t="s">
        <v>487</v>
      </c>
      <c r="J41" s="272" t="s">
        <v>490</v>
      </c>
      <c r="K41" s="271">
        <v>37550000</v>
      </c>
      <c r="L41" s="273">
        <v>37561899</v>
      </c>
    </row>
    <row r="42" spans="1:12" ht="11.1" customHeight="1" x14ac:dyDescent="0.2">
      <c r="A42" s="247"/>
      <c r="B42" s="261" t="s">
        <v>422</v>
      </c>
      <c r="C42" s="262" t="s">
        <v>423</v>
      </c>
      <c r="D42" s="263" t="s">
        <v>491</v>
      </c>
      <c r="E42" s="262">
        <v>62670000</v>
      </c>
      <c r="F42" s="264">
        <v>62679999</v>
      </c>
      <c r="G42" s="247"/>
      <c r="H42" s="261" t="s">
        <v>447</v>
      </c>
      <c r="I42" s="262" t="s">
        <v>454</v>
      </c>
      <c r="J42" s="263" t="s">
        <v>492</v>
      </c>
      <c r="K42" s="262">
        <v>33805000</v>
      </c>
      <c r="L42" s="264">
        <v>33979899</v>
      </c>
    </row>
    <row r="43" spans="1:12" ht="11.1" customHeight="1" x14ac:dyDescent="0.2">
      <c r="A43" s="247"/>
      <c r="B43" s="270" t="s">
        <v>393</v>
      </c>
      <c r="C43" s="271" t="s">
        <v>400</v>
      </c>
      <c r="D43" s="272" t="s">
        <v>493</v>
      </c>
      <c r="E43" s="271">
        <v>43805000</v>
      </c>
      <c r="F43" s="273">
        <v>43846000</v>
      </c>
      <c r="G43" s="247"/>
      <c r="H43" s="270" t="s">
        <v>447</v>
      </c>
      <c r="I43" s="271" t="s">
        <v>454</v>
      </c>
      <c r="J43" s="272" t="s">
        <v>494</v>
      </c>
      <c r="K43" s="271">
        <v>33010000</v>
      </c>
      <c r="L43" s="273">
        <v>33199899</v>
      </c>
    </row>
    <row r="44" spans="1:12" ht="11.1" customHeight="1" x14ac:dyDescent="0.2">
      <c r="A44" s="247"/>
      <c r="B44" s="261" t="s">
        <v>393</v>
      </c>
      <c r="C44" s="262" t="s">
        <v>400</v>
      </c>
      <c r="D44" s="263" t="s">
        <v>495</v>
      </c>
      <c r="E44" s="262">
        <v>42850000</v>
      </c>
      <c r="F44" s="264">
        <v>42850970</v>
      </c>
      <c r="G44" s="247"/>
      <c r="H44" s="261" t="s">
        <v>447</v>
      </c>
      <c r="I44" s="262" t="s">
        <v>465</v>
      </c>
      <c r="J44" s="263" t="s">
        <v>496</v>
      </c>
      <c r="K44" s="262">
        <v>36300001</v>
      </c>
      <c r="L44" s="264">
        <v>36314899</v>
      </c>
    </row>
    <row r="45" spans="1:12" ht="11.1" customHeight="1" x14ac:dyDescent="0.2">
      <c r="A45" s="247"/>
      <c r="B45" s="270" t="s">
        <v>393</v>
      </c>
      <c r="C45" s="271" t="s">
        <v>394</v>
      </c>
      <c r="D45" s="272" t="s">
        <v>403</v>
      </c>
      <c r="E45" s="271">
        <v>44001001</v>
      </c>
      <c r="F45" s="273">
        <v>44140000</v>
      </c>
      <c r="G45" s="247"/>
      <c r="H45" s="270" t="s">
        <v>447</v>
      </c>
      <c r="I45" s="271" t="s">
        <v>451</v>
      </c>
      <c r="J45" s="272" t="s">
        <v>497</v>
      </c>
      <c r="K45" s="271">
        <v>38001970</v>
      </c>
      <c r="L45" s="273">
        <v>38099899</v>
      </c>
    </row>
    <row r="46" spans="1:12" ht="11.1" customHeight="1" x14ac:dyDescent="0.2">
      <c r="A46" s="247"/>
      <c r="B46" s="261" t="s">
        <v>393</v>
      </c>
      <c r="C46" s="262" t="s">
        <v>416</v>
      </c>
      <c r="D46" s="263" t="s">
        <v>498</v>
      </c>
      <c r="E46" s="262">
        <v>44460000</v>
      </c>
      <c r="F46" s="264">
        <v>44460970</v>
      </c>
      <c r="G46" s="247"/>
      <c r="H46" s="261" t="s">
        <v>447</v>
      </c>
      <c r="I46" s="262" t="s">
        <v>448</v>
      </c>
      <c r="J46" s="263" t="s">
        <v>499</v>
      </c>
      <c r="K46" s="262">
        <v>38400010</v>
      </c>
      <c r="L46" s="264">
        <v>38438899</v>
      </c>
    </row>
    <row r="47" spans="1:12" ht="11.1" customHeight="1" x14ac:dyDescent="0.2">
      <c r="A47" s="247"/>
      <c r="B47" s="270" t="s">
        <v>393</v>
      </c>
      <c r="C47" s="271" t="s">
        <v>400</v>
      </c>
      <c r="D47" s="272" t="s">
        <v>412</v>
      </c>
      <c r="E47" s="271">
        <v>42700000</v>
      </c>
      <c r="F47" s="273">
        <v>42741270</v>
      </c>
      <c r="G47" s="247"/>
      <c r="H47" s="270" t="s">
        <v>447</v>
      </c>
      <c r="I47" s="271" t="s">
        <v>500</v>
      </c>
      <c r="J47" s="272" t="s">
        <v>501</v>
      </c>
      <c r="K47" s="271">
        <v>37002000</v>
      </c>
      <c r="L47" s="273">
        <v>37109899</v>
      </c>
    </row>
    <row r="48" spans="1:12" ht="11.1" customHeight="1" x14ac:dyDescent="0.2">
      <c r="A48" s="247"/>
      <c r="B48" s="261" t="s">
        <v>393</v>
      </c>
      <c r="C48" s="262" t="s">
        <v>400</v>
      </c>
      <c r="D48" s="263" t="s">
        <v>502</v>
      </c>
      <c r="E48" s="262">
        <v>42600000</v>
      </c>
      <c r="F48" s="264">
        <v>42600000</v>
      </c>
      <c r="G48" s="247"/>
      <c r="H48" s="261" t="s">
        <v>447</v>
      </c>
      <c r="I48" s="262" t="s">
        <v>475</v>
      </c>
      <c r="J48" s="263" t="s">
        <v>503</v>
      </c>
      <c r="K48" s="262">
        <v>36570000</v>
      </c>
      <c r="L48" s="264">
        <v>36579000</v>
      </c>
    </row>
    <row r="49" spans="1:12" ht="11.1" customHeight="1" x14ac:dyDescent="0.2">
      <c r="A49" s="247"/>
      <c r="B49" s="270" t="s">
        <v>393</v>
      </c>
      <c r="C49" s="271" t="s">
        <v>400</v>
      </c>
      <c r="D49" s="272" t="s">
        <v>504</v>
      </c>
      <c r="E49" s="271">
        <v>48280000</v>
      </c>
      <c r="F49" s="273">
        <v>48289000</v>
      </c>
      <c r="G49" s="247"/>
      <c r="H49" s="270" t="s">
        <v>505</v>
      </c>
      <c r="I49" s="271" t="s">
        <v>506</v>
      </c>
      <c r="J49" s="272" t="s">
        <v>507</v>
      </c>
      <c r="K49" s="271">
        <v>83501000</v>
      </c>
      <c r="L49" s="273">
        <v>83529899</v>
      </c>
    </row>
    <row r="50" spans="1:12" ht="11.1" customHeight="1" x14ac:dyDescent="0.2">
      <c r="A50" s="247"/>
      <c r="B50" s="261" t="s">
        <v>393</v>
      </c>
      <c r="C50" s="262" t="s">
        <v>400</v>
      </c>
      <c r="D50" s="263" t="s">
        <v>508</v>
      </c>
      <c r="E50" s="262">
        <v>48120000</v>
      </c>
      <c r="F50" s="264">
        <v>48126000</v>
      </c>
      <c r="G50" s="247"/>
      <c r="H50" s="261" t="s">
        <v>505</v>
      </c>
      <c r="I50" s="262" t="s">
        <v>509</v>
      </c>
      <c r="J50" s="263" t="s">
        <v>510</v>
      </c>
      <c r="K50" s="262">
        <v>83370000</v>
      </c>
      <c r="L50" s="264">
        <v>83370000</v>
      </c>
    </row>
    <row r="51" spans="1:12" ht="11.1" customHeight="1" x14ac:dyDescent="0.2">
      <c r="A51" s="247"/>
      <c r="B51" s="270" t="s">
        <v>393</v>
      </c>
      <c r="C51" s="271" t="s">
        <v>400</v>
      </c>
      <c r="D51" s="272" t="s">
        <v>414</v>
      </c>
      <c r="E51" s="271">
        <v>40010000</v>
      </c>
      <c r="F51" s="273">
        <v>42510280</v>
      </c>
      <c r="G51" s="247"/>
      <c r="H51" s="270" t="s">
        <v>505</v>
      </c>
      <c r="I51" s="271" t="s">
        <v>511</v>
      </c>
      <c r="J51" s="272" t="s">
        <v>512</v>
      </c>
      <c r="K51" s="271">
        <v>86800007</v>
      </c>
      <c r="L51" s="273">
        <v>86815899</v>
      </c>
    </row>
    <row r="52" spans="1:12" ht="11.1" customHeight="1" x14ac:dyDescent="0.2">
      <c r="A52" s="247"/>
      <c r="B52" s="261" t="s">
        <v>393</v>
      </c>
      <c r="C52" s="262" t="s">
        <v>400</v>
      </c>
      <c r="D52" s="263" t="s">
        <v>513</v>
      </c>
      <c r="E52" s="262">
        <v>43900000</v>
      </c>
      <c r="F52" s="264">
        <v>43980000</v>
      </c>
      <c r="G52" s="247"/>
      <c r="H52" s="261" t="s">
        <v>505</v>
      </c>
      <c r="I52" s="262" t="s">
        <v>511</v>
      </c>
      <c r="J52" s="263" t="s">
        <v>514</v>
      </c>
      <c r="K52" s="262">
        <v>86700005</v>
      </c>
      <c r="L52" s="264">
        <v>86716899</v>
      </c>
    </row>
    <row r="53" spans="1:12" ht="11.1" customHeight="1" x14ac:dyDescent="0.2">
      <c r="A53" s="247"/>
      <c r="B53" s="270" t="s">
        <v>393</v>
      </c>
      <c r="C53" s="271" t="s">
        <v>400</v>
      </c>
      <c r="D53" s="272" t="s">
        <v>515</v>
      </c>
      <c r="E53" s="271">
        <v>43850000</v>
      </c>
      <c r="F53" s="273">
        <v>43870000</v>
      </c>
      <c r="G53" s="247"/>
      <c r="H53" s="270" t="s">
        <v>505</v>
      </c>
      <c r="I53" s="271" t="s">
        <v>506</v>
      </c>
      <c r="J53" s="272" t="s">
        <v>516</v>
      </c>
      <c r="K53" s="271">
        <v>83701010</v>
      </c>
      <c r="L53" s="273">
        <v>83724899</v>
      </c>
    </row>
    <row r="54" spans="1:12" ht="11.1" customHeight="1" x14ac:dyDescent="0.2">
      <c r="A54" s="247"/>
      <c r="B54" s="261" t="s">
        <v>393</v>
      </c>
      <c r="C54" s="262" t="s">
        <v>400</v>
      </c>
      <c r="D54" s="263" t="s">
        <v>517</v>
      </c>
      <c r="E54" s="262">
        <v>43700000</v>
      </c>
      <c r="F54" s="264">
        <v>43700974</v>
      </c>
      <c r="G54" s="247"/>
      <c r="H54" s="261" t="s">
        <v>505</v>
      </c>
      <c r="I54" s="262" t="s">
        <v>506</v>
      </c>
      <c r="J54" s="263" t="s">
        <v>518</v>
      </c>
      <c r="K54" s="262">
        <v>83600970</v>
      </c>
      <c r="L54" s="264">
        <v>83640899</v>
      </c>
    </row>
    <row r="55" spans="1:12" ht="11.1" customHeight="1" x14ac:dyDescent="0.2">
      <c r="A55" s="247"/>
      <c r="B55" s="270" t="s">
        <v>393</v>
      </c>
      <c r="C55" s="271" t="s">
        <v>416</v>
      </c>
      <c r="D55" s="272" t="s">
        <v>519</v>
      </c>
      <c r="E55" s="271">
        <v>44470000</v>
      </c>
      <c r="F55" s="273">
        <v>44478971</v>
      </c>
      <c r="G55" s="247"/>
      <c r="H55" s="270" t="s">
        <v>505</v>
      </c>
      <c r="I55" s="271" t="s">
        <v>509</v>
      </c>
      <c r="J55" s="272" t="s">
        <v>520</v>
      </c>
      <c r="K55" s="271">
        <v>87300005</v>
      </c>
      <c r="L55" s="273">
        <v>87314899</v>
      </c>
    </row>
    <row r="56" spans="1:12" ht="11.1" customHeight="1" x14ac:dyDescent="0.2">
      <c r="A56" s="247"/>
      <c r="B56" s="261"/>
      <c r="C56" s="262"/>
      <c r="D56" s="263"/>
      <c r="E56" s="262"/>
      <c r="F56" s="264"/>
      <c r="G56" s="247"/>
      <c r="H56" s="261" t="s">
        <v>505</v>
      </c>
      <c r="I56" s="262" t="s">
        <v>509</v>
      </c>
      <c r="J56" s="263" t="s">
        <v>461</v>
      </c>
      <c r="K56" s="262">
        <v>85801000</v>
      </c>
      <c r="L56" s="264">
        <v>85820899</v>
      </c>
    </row>
    <row r="57" spans="1:12" ht="11.1" customHeight="1" x14ac:dyDescent="0.2">
      <c r="A57" s="247"/>
      <c r="B57" s="270"/>
      <c r="C57" s="271"/>
      <c r="D57" s="272"/>
      <c r="E57" s="271"/>
      <c r="F57" s="273"/>
      <c r="G57" s="247"/>
      <c r="H57" s="270" t="s">
        <v>505</v>
      </c>
      <c r="I57" s="271" t="s">
        <v>509</v>
      </c>
      <c r="J57" s="272" t="s">
        <v>521</v>
      </c>
      <c r="K57" s="271">
        <v>84165000</v>
      </c>
      <c r="L57" s="273">
        <v>84184899</v>
      </c>
    </row>
    <row r="58" spans="1:12" ht="11.1" customHeight="1" x14ac:dyDescent="0.2">
      <c r="A58" s="247"/>
      <c r="B58" s="261"/>
      <c r="C58" s="262"/>
      <c r="D58" s="263"/>
      <c r="E58" s="262"/>
      <c r="F58" s="264"/>
      <c r="G58" s="247"/>
      <c r="H58" s="261" t="s">
        <v>505</v>
      </c>
      <c r="I58" s="262" t="s">
        <v>506</v>
      </c>
      <c r="J58" s="263" t="s">
        <v>522</v>
      </c>
      <c r="K58" s="262">
        <v>80002900</v>
      </c>
      <c r="L58" s="264">
        <v>82999899</v>
      </c>
    </row>
    <row r="59" spans="1:12" ht="11.1" customHeight="1" x14ac:dyDescent="0.2">
      <c r="A59" s="247"/>
      <c r="B59" s="270"/>
      <c r="C59" s="271"/>
      <c r="D59" s="272"/>
      <c r="E59" s="271"/>
      <c r="F59" s="273"/>
      <c r="G59" s="247"/>
      <c r="H59" s="270" t="s">
        <v>505</v>
      </c>
      <c r="I59" s="271" t="s">
        <v>509</v>
      </c>
      <c r="J59" s="272" t="s">
        <v>523</v>
      </c>
      <c r="K59" s="271">
        <v>85851000</v>
      </c>
      <c r="L59" s="273">
        <v>85871899</v>
      </c>
    </row>
    <row r="60" spans="1:12" ht="11.1" customHeight="1" x14ac:dyDescent="0.2">
      <c r="A60" s="247"/>
      <c r="B60" s="261"/>
      <c r="C60" s="262"/>
      <c r="D60" s="263"/>
      <c r="E60" s="262"/>
      <c r="F60" s="264"/>
      <c r="G60" s="247"/>
      <c r="H60" s="261" t="s">
        <v>505</v>
      </c>
      <c r="I60" s="262" t="s">
        <v>509</v>
      </c>
      <c r="J60" s="263" t="s">
        <v>524</v>
      </c>
      <c r="K60" s="262">
        <v>85601000</v>
      </c>
      <c r="L60" s="264">
        <v>85606899</v>
      </c>
    </row>
    <row r="61" spans="1:12" ht="11.1" customHeight="1" x14ac:dyDescent="0.2">
      <c r="A61" s="247"/>
      <c r="B61" s="270"/>
      <c r="C61" s="271"/>
      <c r="D61" s="272"/>
      <c r="E61" s="271"/>
      <c r="F61" s="273"/>
      <c r="G61" s="247"/>
      <c r="H61" s="270" t="s">
        <v>505</v>
      </c>
      <c r="I61" s="271" t="s">
        <v>511</v>
      </c>
      <c r="J61" s="272" t="s">
        <v>525</v>
      </c>
      <c r="K61" s="271">
        <v>87001970</v>
      </c>
      <c r="L61" s="273">
        <v>87109899</v>
      </c>
    </row>
    <row r="62" spans="1:12" ht="11.1" customHeight="1" x14ac:dyDescent="0.2">
      <c r="A62" s="247"/>
      <c r="B62" s="261"/>
      <c r="C62" s="262"/>
      <c r="D62" s="263"/>
      <c r="E62" s="262"/>
      <c r="F62" s="264"/>
      <c r="G62" s="247"/>
      <c r="H62" s="261" t="s">
        <v>505</v>
      </c>
      <c r="I62" s="262" t="s">
        <v>509</v>
      </c>
      <c r="J62" s="263" t="s">
        <v>526</v>
      </c>
      <c r="K62" s="262">
        <v>83203000</v>
      </c>
      <c r="L62" s="264">
        <v>83249899</v>
      </c>
    </row>
    <row r="63" spans="1:12" ht="11.1" customHeight="1" x14ac:dyDescent="0.2">
      <c r="A63" s="247"/>
      <c r="B63" s="270"/>
      <c r="C63" s="271"/>
      <c r="D63" s="272"/>
      <c r="E63" s="271"/>
      <c r="F63" s="273"/>
      <c r="G63" s="247"/>
      <c r="H63" s="270" t="s">
        <v>505</v>
      </c>
      <c r="I63" s="271" t="s">
        <v>509</v>
      </c>
      <c r="J63" s="272" t="s">
        <v>527</v>
      </c>
      <c r="K63" s="271">
        <v>85501020</v>
      </c>
      <c r="L63" s="273">
        <v>85513899</v>
      </c>
    </row>
    <row r="64" spans="1:12" ht="11.1" customHeight="1" x14ac:dyDescent="0.2">
      <c r="A64" s="247"/>
      <c r="B64" s="261"/>
      <c r="C64" s="262"/>
      <c r="D64" s="263"/>
      <c r="E64" s="262"/>
      <c r="F64" s="264"/>
      <c r="G64" s="247"/>
      <c r="H64" s="261" t="s">
        <v>505</v>
      </c>
      <c r="I64" s="262" t="s">
        <v>506</v>
      </c>
      <c r="J64" s="263" t="s">
        <v>528</v>
      </c>
      <c r="K64" s="262">
        <v>83320005</v>
      </c>
      <c r="L64" s="264">
        <v>83349899</v>
      </c>
    </row>
    <row r="65" spans="1:12" ht="11.1" customHeight="1" x14ac:dyDescent="0.2">
      <c r="A65" s="247"/>
      <c r="B65" s="270"/>
      <c r="C65" s="271"/>
      <c r="D65" s="272"/>
      <c r="E65" s="271"/>
      <c r="F65" s="273"/>
      <c r="G65" s="247"/>
      <c r="H65" s="270" t="s">
        <v>505</v>
      </c>
      <c r="I65" s="271" t="s">
        <v>509</v>
      </c>
      <c r="J65" s="272" t="s">
        <v>529</v>
      </c>
      <c r="K65" s="271">
        <v>84010000</v>
      </c>
      <c r="L65" s="273">
        <v>84099899</v>
      </c>
    </row>
    <row r="66" spans="1:12" ht="11.1" customHeight="1" x14ac:dyDescent="0.2">
      <c r="A66" s="247"/>
      <c r="B66" s="261"/>
      <c r="C66" s="262"/>
      <c r="D66" s="263"/>
      <c r="E66" s="262"/>
      <c r="F66" s="264"/>
      <c r="G66" s="247"/>
      <c r="H66" s="261" t="s">
        <v>505</v>
      </c>
      <c r="I66" s="262" t="s">
        <v>506</v>
      </c>
      <c r="J66" s="263" t="s">
        <v>530</v>
      </c>
      <c r="K66" s="262">
        <v>83005000</v>
      </c>
      <c r="L66" s="264">
        <v>83149899</v>
      </c>
    </row>
    <row r="67" spans="1:12" ht="11.1" customHeight="1" x14ac:dyDescent="0.2">
      <c r="A67" s="247"/>
      <c r="B67" s="270"/>
      <c r="C67" s="271"/>
      <c r="D67" s="272"/>
      <c r="E67" s="271"/>
      <c r="F67" s="273"/>
      <c r="G67" s="247"/>
      <c r="H67" s="270" t="s">
        <v>390</v>
      </c>
      <c r="I67" s="271" t="s">
        <v>435</v>
      </c>
      <c r="J67" s="272" t="s">
        <v>531</v>
      </c>
      <c r="K67" s="271">
        <v>27310000</v>
      </c>
      <c r="L67" s="273">
        <v>27399899</v>
      </c>
    </row>
    <row r="68" spans="1:12" ht="11.1" customHeight="1" x14ac:dyDescent="0.2">
      <c r="A68" s="247"/>
      <c r="B68" s="261"/>
      <c r="C68" s="262"/>
      <c r="D68" s="263"/>
      <c r="E68" s="262"/>
      <c r="F68" s="264"/>
      <c r="G68" s="247"/>
      <c r="H68" s="261" t="s">
        <v>390</v>
      </c>
      <c r="I68" s="262" t="s">
        <v>391</v>
      </c>
      <c r="J68" s="263" t="s">
        <v>392</v>
      </c>
      <c r="K68" s="262">
        <v>26110005</v>
      </c>
      <c r="L68" s="264">
        <v>26199899</v>
      </c>
    </row>
    <row r="69" spans="1:12" ht="11.1" customHeight="1" x14ac:dyDescent="0.2">
      <c r="A69" s="247"/>
      <c r="B69" s="270"/>
      <c r="C69" s="271"/>
      <c r="D69" s="272"/>
      <c r="E69" s="271"/>
      <c r="F69" s="273"/>
      <c r="G69" s="247"/>
      <c r="H69" s="270" t="s">
        <v>390</v>
      </c>
      <c r="I69" s="271" t="s">
        <v>391</v>
      </c>
      <c r="J69" s="272" t="s">
        <v>399</v>
      </c>
      <c r="K69" s="271">
        <v>25010000</v>
      </c>
      <c r="L69" s="273">
        <v>25499899</v>
      </c>
    </row>
    <row r="70" spans="1:12" ht="11.1" customHeight="1" x14ac:dyDescent="0.2">
      <c r="A70" s="247"/>
      <c r="B70" s="261"/>
      <c r="C70" s="262"/>
      <c r="D70" s="263"/>
      <c r="E70" s="262"/>
      <c r="F70" s="264"/>
      <c r="G70" s="247"/>
      <c r="H70" s="261" t="s">
        <v>390</v>
      </c>
      <c r="I70" s="262" t="s">
        <v>532</v>
      </c>
      <c r="J70" s="263" t="s">
        <v>533</v>
      </c>
      <c r="K70" s="262">
        <v>27910000</v>
      </c>
      <c r="L70" s="264">
        <v>27990970</v>
      </c>
    </row>
    <row r="71" spans="1:12" ht="11.1" customHeight="1" x14ac:dyDescent="0.2">
      <c r="A71" s="247"/>
      <c r="B71" s="270"/>
      <c r="C71" s="271"/>
      <c r="D71" s="272"/>
      <c r="E71" s="271"/>
      <c r="F71" s="273"/>
      <c r="G71" s="247"/>
      <c r="H71" s="270" t="s">
        <v>390</v>
      </c>
      <c r="I71" s="271" t="s">
        <v>391</v>
      </c>
      <c r="J71" s="272" t="s">
        <v>421</v>
      </c>
      <c r="K71" s="271">
        <v>26550007</v>
      </c>
      <c r="L71" s="273">
        <v>26599899</v>
      </c>
    </row>
    <row r="72" spans="1:12" ht="11.1" customHeight="1" x14ac:dyDescent="0.2">
      <c r="A72" s="247"/>
      <c r="B72" s="261"/>
      <c r="C72" s="262"/>
      <c r="D72" s="263"/>
      <c r="E72" s="262"/>
      <c r="F72" s="264"/>
      <c r="G72" s="247"/>
      <c r="H72" s="261" t="s">
        <v>390</v>
      </c>
      <c r="I72" s="262" t="s">
        <v>391</v>
      </c>
      <c r="J72" s="263" t="s">
        <v>425</v>
      </c>
      <c r="K72" s="262">
        <v>26510000</v>
      </c>
      <c r="L72" s="264">
        <v>26549899</v>
      </c>
    </row>
    <row r="73" spans="1:12" ht="11.1" customHeight="1" x14ac:dyDescent="0.2">
      <c r="A73" s="247"/>
      <c r="B73" s="270"/>
      <c r="C73" s="271"/>
      <c r="D73" s="272"/>
      <c r="E73" s="271"/>
      <c r="F73" s="273"/>
      <c r="G73" s="247"/>
      <c r="H73" s="270" t="s">
        <v>390</v>
      </c>
      <c r="I73" s="271" t="s">
        <v>404</v>
      </c>
      <c r="J73" s="272" t="s">
        <v>428</v>
      </c>
      <c r="K73" s="271">
        <v>24003900</v>
      </c>
      <c r="L73" s="273">
        <v>24399899</v>
      </c>
    </row>
    <row r="74" spans="1:12" ht="11.1" customHeight="1" x14ac:dyDescent="0.2">
      <c r="A74" s="247"/>
      <c r="B74" s="261"/>
      <c r="C74" s="262"/>
      <c r="D74" s="263"/>
      <c r="E74" s="262"/>
      <c r="F74" s="264"/>
      <c r="G74" s="247"/>
      <c r="H74" s="261" t="s">
        <v>390</v>
      </c>
      <c r="I74" s="262" t="s">
        <v>391</v>
      </c>
      <c r="J74" s="263" t="s">
        <v>534</v>
      </c>
      <c r="K74" s="262">
        <v>28605000</v>
      </c>
      <c r="L74" s="264">
        <v>28636899</v>
      </c>
    </row>
    <row r="75" spans="1:12" ht="11.1" customHeight="1" x14ac:dyDescent="0.2">
      <c r="A75" s="247"/>
      <c r="B75" s="270"/>
      <c r="C75" s="271"/>
      <c r="D75" s="272"/>
      <c r="E75" s="271"/>
      <c r="F75" s="273"/>
      <c r="G75" s="247"/>
      <c r="H75" s="270" t="s">
        <v>390</v>
      </c>
      <c r="I75" s="271" t="s">
        <v>391</v>
      </c>
      <c r="J75" s="272" t="s">
        <v>431</v>
      </c>
      <c r="K75" s="271">
        <v>26010003</v>
      </c>
      <c r="L75" s="273">
        <v>26299315</v>
      </c>
    </row>
    <row r="76" spans="1:12" ht="11.1" customHeight="1" x14ac:dyDescent="0.2">
      <c r="A76" s="247"/>
      <c r="B76" s="261"/>
      <c r="C76" s="262"/>
      <c r="D76" s="263"/>
      <c r="E76" s="262"/>
      <c r="F76" s="264"/>
      <c r="G76" s="247"/>
      <c r="H76" s="261" t="s">
        <v>390</v>
      </c>
      <c r="I76" s="262" t="s">
        <v>391</v>
      </c>
      <c r="J76" s="263" t="s">
        <v>535</v>
      </c>
      <c r="K76" s="262">
        <v>25610000</v>
      </c>
      <c r="L76" s="264">
        <v>25779899</v>
      </c>
    </row>
    <row r="77" spans="1:12" ht="11.1" customHeight="1" x14ac:dyDescent="0.2">
      <c r="A77" s="247"/>
      <c r="B77" s="270"/>
      <c r="C77" s="271"/>
      <c r="D77" s="272"/>
      <c r="E77" s="271"/>
      <c r="F77" s="273"/>
      <c r="G77" s="247"/>
      <c r="H77" s="270" t="s">
        <v>390</v>
      </c>
      <c r="I77" s="271" t="s">
        <v>391</v>
      </c>
      <c r="J77" s="272" t="s">
        <v>444</v>
      </c>
      <c r="K77" s="271">
        <v>20010000</v>
      </c>
      <c r="L77" s="273">
        <v>23799899</v>
      </c>
    </row>
    <row r="78" spans="1:12" ht="11.1" customHeight="1" x14ac:dyDescent="0.2">
      <c r="A78" s="247"/>
      <c r="B78" s="261"/>
      <c r="C78" s="262"/>
      <c r="D78" s="263"/>
      <c r="E78" s="262"/>
      <c r="F78" s="264"/>
      <c r="G78" s="247"/>
      <c r="H78" s="261" t="s">
        <v>390</v>
      </c>
      <c r="I78" s="262" t="s">
        <v>404</v>
      </c>
      <c r="J78" s="263" t="s">
        <v>446</v>
      </c>
      <c r="K78" s="262">
        <v>24410000</v>
      </c>
      <c r="L78" s="264">
        <v>24799899</v>
      </c>
    </row>
    <row r="79" spans="1:12" ht="11.1" customHeight="1" x14ac:dyDescent="0.2">
      <c r="A79" s="247"/>
      <c r="B79" s="270"/>
      <c r="C79" s="271"/>
      <c r="D79" s="272"/>
      <c r="E79" s="271"/>
      <c r="F79" s="273"/>
      <c r="G79" s="247"/>
      <c r="H79" s="270" t="s">
        <v>390</v>
      </c>
      <c r="I79" s="271" t="s">
        <v>391</v>
      </c>
      <c r="J79" s="272" t="s">
        <v>536</v>
      </c>
      <c r="K79" s="271">
        <v>25510000</v>
      </c>
      <c r="L79" s="273">
        <v>25599900</v>
      </c>
    </row>
    <row r="80" spans="1:12" ht="11.1" customHeight="1" x14ac:dyDescent="0.2">
      <c r="A80" s="247"/>
      <c r="B80" s="261"/>
      <c r="C80" s="262"/>
      <c r="D80" s="263"/>
      <c r="E80" s="262"/>
      <c r="F80" s="264"/>
      <c r="G80" s="247"/>
      <c r="H80" s="261" t="s">
        <v>537</v>
      </c>
      <c r="I80" s="262" t="s">
        <v>538</v>
      </c>
      <c r="J80" s="263" t="s">
        <v>539</v>
      </c>
      <c r="K80" s="262">
        <v>97541000</v>
      </c>
      <c r="L80" s="264">
        <v>97551899</v>
      </c>
    </row>
    <row r="81" spans="1:12" ht="11.1" customHeight="1" x14ac:dyDescent="0.2">
      <c r="A81" s="247"/>
      <c r="B81" s="270"/>
      <c r="C81" s="271"/>
      <c r="D81" s="272"/>
      <c r="E81" s="271"/>
      <c r="F81" s="273"/>
      <c r="G81" s="247"/>
      <c r="H81" s="270" t="s">
        <v>537</v>
      </c>
      <c r="I81" s="271" t="s">
        <v>540</v>
      </c>
      <c r="J81" s="272" t="s">
        <v>541</v>
      </c>
      <c r="K81" s="271">
        <v>95700010</v>
      </c>
      <c r="L81" s="273">
        <v>95709899</v>
      </c>
    </row>
    <row r="82" spans="1:12" ht="11.1" customHeight="1" x14ac:dyDescent="0.2">
      <c r="A82" s="247"/>
      <c r="B82" s="261"/>
      <c r="C82" s="262"/>
      <c r="D82" s="263"/>
      <c r="E82" s="262"/>
      <c r="F82" s="264"/>
      <c r="G82" s="247"/>
      <c r="H82" s="261" t="s">
        <v>537</v>
      </c>
      <c r="I82" s="262" t="s">
        <v>540</v>
      </c>
      <c r="J82" s="263" t="s">
        <v>542</v>
      </c>
      <c r="K82" s="262">
        <v>95010000</v>
      </c>
      <c r="L82" s="264">
        <v>95124899</v>
      </c>
    </row>
    <row r="83" spans="1:12" ht="11.1" customHeight="1" x14ac:dyDescent="0.2">
      <c r="A83" s="247"/>
      <c r="B83" s="270"/>
      <c r="C83" s="271"/>
      <c r="D83" s="272"/>
      <c r="E83" s="271"/>
      <c r="F83" s="273"/>
      <c r="G83" s="247"/>
      <c r="H83" s="270" t="s">
        <v>537</v>
      </c>
      <c r="I83" s="271" t="s">
        <v>543</v>
      </c>
      <c r="J83" s="272" t="s">
        <v>544</v>
      </c>
      <c r="K83" s="271">
        <v>95670000</v>
      </c>
      <c r="L83" s="273">
        <v>95670970</v>
      </c>
    </row>
    <row r="84" spans="1:12" ht="11.1" customHeight="1" x14ac:dyDescent="0.2">
      <c r="A84" s="247"/>
      <c r="B84" s="261"/>
      <c r="C84" s="262"/>
      <c r="D84" s="263"/>
      <c r="E84" s="262"/>
      <c r="F84" s="264"/>
      <c r="G84" s="247"/>
      <c r="H84" s="261" t="s">
        <v>537</v>
      </c>
      <c r="I84" s="262" t="s">
        <v>545</v>
      </c>
      <c r="J84" s="263" t="s">
        <v>546</v>
      </c>
      <c r="K84" s="262">
        <v>98700000</v>
      </c>
      <c r="L84" s="264">
        <v>98700000</v>
      </c>
    </row>
    <row r="85" spans="1:12" ht="11.1" customHeight="1" x14ac:dyDescent="0.2">
      <c r="A85" s="247"/>
      <c r="B85" s="270"/>
      <c r="C85" s="271"/>
      <c r="D85" s="272"/>
      <c r="E85" s="271"/>
      <c r="F85" s="273"/>
      <c r="G85" s="247"/>
      <c r="H85" s="270" t="s">
        <v>537</v>
      </c>
      <c r="I85" s="271" t="s">
        <v>543</v>
      </c>
      <c r="J85" s="272" t="s">
        <v>547</v>
      </c>
      <c r="K85" s="271">
        <v>93301970</v>
      </c>
      <c r="L85" s="273">
        <v>93548652</v>
      </c>
    </row>
    <row r="86" spans="1:12" ht="11.1" customHeight="1" x14ac:dyDescent="0.2">
      <c r="A86" s="247"/>
      <c r="B86" s="261"/>
      <c r="C86" s="262"/>
      <c r="D86" s="263"/>
      <c r="E86" s="262"/>
      <c r="F86" s="264"/>
      <c r="G86" s="247"/>
      <c r="H86" s="261" t="s">
        <v>537</v>
      </c>
      <c r="I86" s="262" t="s">
        <v>545</v>
      </c>
      <c r="J86" s="263" t="s">
        <v>548</v>
      </c>
      <c r="K86" s="262">
        <v>99001970</v>
      </c>
      <c r="L86" s="264">
        <v>99099899</v>
      </c>
    </row>
    <row r="87" spans="1:12" ht="11.1" customHeight="1" x14ac:dyDescent="0.2">
      <c r="A87" s="247"/>
      <c r="B87" s="270"/>
      <c r="C87" s="271"/>
      <c r="D87" s="272"/>
      <c r="E87" s="271"/>
      <c r="F87" s="273"/>
      <c r="G87" s="247"/>
      <c r="H87" s="270" t="s">
        <v>537</v>
      </c>
      <c r="I87" s="271" t="s">
        <v>543</v>
      </c>
      <c r="J87" s="272" t="s">
        <v>549</v>
      </c>
      <c r="K87" s="271">
        <v>90001970</v>
      </c>
      <c r="L87" s="273">
        <v>91920800</v>
      </c>
    </row>
    <row r="88" spans="1:12" ht="11.1" customHeight="1" x14ac:dyDescent="0.2">
      <c r="A88" s="247"/>
      <c r="B88" s="261"/>
      <c r="C88" s="262"/>
      <c r="D88" s="263"/>
      <c r="E88" s="262"/>
      <c r="F88" s="264"/>
      <c r="G88" s="247"/>
      <c r="H88" s="261" t="s">
        <v>537</v>
      </c>
      <c r="I88" s="262" t="s">
        <v>538</v>
      </c>
      <c r="J88" s="263" t="s">
        <v>550</v>
      </c>
      <c r="K88" s="262">
        <v>97010000</v>
      </c>
      <c r="L88" s="264">
        <v>97110870</v>
      </c>
    </row>
    <row r="89" spans="1:12" ht="11.1" customHeight="1" x14ac:dyDescent="0.2">
      <c r="A89" s="247"/>
      <c r="B89" s="270"/>
      <c r="C89" s="271"/>
      <c r="D89" s="272"/>
      <c r="E89" s="271"/>
      <c r="F89" s="273"/>
      <c r="G89" s="247"/>
      <c r="H89" s="270" t="s">
        <v>537</v>
      </c>
      <c r="I89" s="271" t="s">
        <v>543</v>
      </c>
      <c r="J89" s="272" t="s">
        <v>551</v>
      </c>
      <c r="K89" s="271">
        <v>93001970</v>
      </c>
      <c r="L89" s="273">
        <v>93179899</v>
      </c>
    </row>
    <row r="90" spans="1:12" ht="11.1" customHeight="1" x14ac:dyDescent="0.2">
      <c r="A90" s="247"/>
      <c r="B90" s="261"/>
      <c r="C90" s="262"/>
      <c r="D90" s="263"/>
      <c r="E90" s="262"/>
      <c r="F90" s="264"/>
      <c r="G90" s="247"/>
      <c r="H90" s="261" t="s">
        <v>537</v>
      </c>
      <c r="I90" s="262" t="s">
        <v>543</v>
      </c>
      <c r="J90" s="263" t="s">
        <v>552</v>
      </c>
      <c r="K90" s="262">
        <v>93210000</v>
      </c>
      <c r="L90" s="264">
        <v>93234500</v>
      </c>
    </row>
    <row r="91" spans="1:12" ht="11.1" customHeight="1" x14ac:dyDescent="0.2">
      <c r="A91" s="247"/>
      <c r="B91" s="270"/>
      <c r="C91" s="271"/>
      <c r="D91" s="272"/>
      <c r="E91" s="271"/>
      <c r="F91" s="273"/>
      <c r="G91" s="247"/>
      <c r="H91" s="270" t="s">
        <v>537</v>
      </c>
      <c r="I91" s="271" t="s">
        <v>540</v>
      </c>
      <c r="J91" s="272" t="s">
        <v>553</v>
      </c>
      <c r="K91" s="271">
        <v>95200000</v>
      </c>
      <c r="L91" s="273">
        <v>95211435</v>
      </c>
    </row>
    <row r="92" spans="1:12" ht="11.1" customHeight="1" x14ac:dyDescent="0.2">
      <c r="A92" s="247"/>
      <c r="B92" s="261"/>
      <c r="C92" s="262"/>
      <c r="D92" s="263"/>
      <c r="E92" s="262"/>
      <c r="F92" s="264"/>
      <c r="G92" s="247"/>
      <c r="H92" s="261" t="s">
        <v>537</v>
      </c>
      <c r="I92" s="262" t="s">
        <v>543</v>
      </c>
      <c r="J92" s="263" t="s">
        <v>554</v>
      </c>
      <c r="K92" s="262" t="s">
        <v>555</v>
      </c>
      <c r="L92" s="264" t="s">
        <v>556</v>
      </c>
    </row>
    <row r="93" spans="1:12" ht="11.1" customHeight="1" x14ac:dyDescent="0.2">
      <c r="A93" s="247"/>
      <c r="B93" s="270"/>
      <c r="C93" s="271"/>
      <c r="D93" s="272"/>
      <c r="E93" s="271"/>
      <c r="F93" s="273"/>
      <c r="G93" s="247"/>
      <c r="H93" s="270" t="s">
        <v>557</v>
      </c>
      <c r="I93" s="271" t="s">
        <v>558</v>
      </c>
      <c r="J93" s="272" t="s">
        <v>559</v>
      </c>
      <c r="K93" s="271">
        <v>88330003</v>
      </c>
      <c r="L93" s="273">
        <v>88339901</v>
      </c>
    </row>
    <row r="94" spans="1:12" ht="11.1" customHeight="1" x14ac:dyDescent="0.2">
      <c r="A94" s="247"/>
      <c r="B94" s="261"/>
      <c r="C94" s="262"/>
      <c r="D94" s="263"/>
      <c r="E94" s="262"/>
      <c r="F94" s="264"/>
      <c r="G94" s="247"/>
      <c r="H94" s="261" t="s">
        <v>557</v>
      </c>
      <c r="I94" s="262" t="s">
        <v>560</v>
      </c>
      <c r="J94" s="263" t="s">
        <v>561</v>
      </c>
      <c r="K94" s="262">
        <v>88390000</v>
      </c>
      <c r="L94" s="264">
        <v>88390970</v>
      </c>
    </row>
    <row r="95" spans="1:12" ht="11.1" customHeight="1" x14ac:dyDescent="0.2">
      <c r="A95" s="247"/>
      <c r="B95" s="270"/>
      <c r="C95" s="271"/>
      <c r="D95" s="272"/>
      <c r="E95" s="271"/>
      <c r="F95" s="273"/>
      <c r="G95" s="247"/>
      <c r="H95" s="270" t="s">
        <v>557</v>
      </c>
      <c r="I95" s="271" t="s">
        <v>558</v>
      </c>
      <c r="J95" s="272" t="s">
        <v>562</v>
      </c>
      <c r="K95" s="271">
        <v>89010000</v>
      </c>
      <c r="L95" s="273">
        <v>89099899</v>
      </c>
    </row>
    <row r="96" spans="1:12" ht="11.1" customHeight="1" x14ac:dyDescent="0.2">
      <c r="A96" s="247"/>
      <c r="B96" s="261"/>
      <c r="C96" s="262"/>
      <c r="D96" s="263"/>
      <c r="E96" s="262"/>
      <c r="F96" s="264"/>
      <c r="G96" s="247"/>
      <c r="H96" s="261" t="s">
        <v>557</v>
      </c>
      <c r="I96" s="262" t="s">
        <v>563</v>
      </c>
      <c r="J96" s="263" t="s">
        <v>564</v>
      </c>
      <c r="K96" s="262">
        <v>88215000</v>
      </c>
      <c r="L96" s="264">
        <v>88215000</v>
      </c>
    </row>
    <row r="97" spans="1:12" ht="11.1" customHeight="1" x14ac:dyDescent="0.2">
      <c r="A97" s="247"/>
      <c r="B97" s="270"/>
      <c r="C97" s="271"/>
      <c r="D97" s="272"/>
      <c r="E97" s="271"/>
      <c r="F97" s="273"/>
      <c r="G97" s="247"/>
      <c r="H97" s="270" t="s">
        <v>557</v>
      </c>
      <c r="I97" s="271" t="s">
        <v>558</v>
      </c>
      <c r="J97" s="272" t="s">
        <v>565</v>
      </c>
      <c r="K97" s="271">
        <v>88350001</v>
      </c>
      <c r="L97" s="273">
        <v>88359899</v>
      </c>
    </row>
    <row r="98" spans="1:12" ht="11.1" customHeight="1" x14ac:dyDescent="0.2">
      <c r="A98" s="247"/>
      <c r="B98" s="261"/>
      <c r="C98" s="262"/>
      <c r="D98" s="263"/>
      <c r="E98" s="262"/>
      <c r="F98" s="264"/>
      <c r="G98" s="247"/>
      <c r="H98" s="261" t="s">
        <v>557</v>
      </c>
      <c r="I98" s="262" t="s">
        <v>566</v>
      </c>
      <c r="J98" s="263" t="s">
        <v>567</v>
      </c>
      <c r="K98" s="262">
        <v>89500000</v>
      </c>
      <c r="L98" s="264">
        <v>89511000</v>
      </c>
    </row>
    <row r="99" spans="1:12" ht="11.1" customHeight="1" x14ac:dyDescent="0.2">
      <c r="A99" s="247"/>
      <c r="B99" s="270"/>
      <c r="C99" s="271"/>
      <c r="D99" s="272"/>
      <c r="E99" s="271"/>
      <c r="F99" s="273"/>
      <c r="G99" s="247"/>
      <c r="H99" s="270" t="s">
        <v>557</v>
      </c>
      <c r="I99" s="271" t="s">
        <v>568</v>
      </c>
      <c r="J99" s="272" t="s">
        <v>569</v>
      </c>
      <c r="K99" s="271">
        <v>89801000</v>
      </c>
      <c r="L99" s="273">
        <v>89816199</v>
      </c>
    </row>
    <row r="100" spans="1:12" ht="11.1" customHeight="1" x14ac:dyDescent="0.2">
      <c r="A100" s="247"/>
      <c r="B100" s="261"/>
      <c r="C100" s="262"/>
      <c r="D100" s="263"/>
      <c r="E100" s="262"/>
      <c r="F100" s="264"/>
      <c r="G100" s="247"/>
      <c r="H100" s="261" t="s">
        <v>557</v>
      </c>
      <c r="I100" s="262" t="s">
        <v>570</v>
      </c>
      <c r="J100" s="263" t="s">
        <v>571</v>
      </c>
      <c r="K100" s="262">
        <v>88010000</v>
      </c>
      <c r="L100" s="264">
        <v>88099899</v>
      </c>
    </row>
    <row r="101" spans="1:12" ht="11.1" customHeight="1" x14ac:dyDescent="0.2">
      <c r="A101" s="247"/>
      <c r="B101" s="270"/>
      <c r="C101" s="271"/>
      <c r="D101" s="272"/>
      <c r="E101" s="271"/>
      <c r="F101" s="273"/>
      <c r="G101" s="247"/>
      <c r="H101" s="270" t="s">
        <v>557</v>
      </c>
      <c r="I101" s="271" t="s">
        <v>560</v>
      </c>
      <c r="J101" s="272" t="s">
        <v>572</v>
      </c>
      <c r="K101" s="271">
        <v>89249000</v>
      </c>
      <c r="L101" s="273">
        <v>89249000</v>
      </c>
    </row>
    <row r="102" spans="1:12" ht="11.1" customHeight="1" x14ac:dyDescent="0.2">
      <c r="A102" s="247"/>
      <c r="B102" s="261"/>
      <c r="C102" s="262"/>
      <c r="D102" s="263"/>
      <c r="E102" s="262"/>
      <c r="F102" s="264"/>
      <c r="G102" s="247"/>
      <c r="H102" s="261" t="s">
        <v>557</v>
      </c>
      <c r="I102" s="262" t="s">
        <v>560</v>
      </c>
      <c r="J102" s="263" t="s">
        <v>573</v>
      </c>
      <c r="K102" s="262">
        <v>89251000</v>
      </c>
      <c r="L102" s="264">
        <v>89269899</v>
      </c>
    </row>
    <row r="103" spans="1:12" ht="11.1" customHeight="1" x14ac:dyDescent="0.2">
      <c r="A103" s="247"/>
      <c r="B103" s="270"/>
      <c r="C103" s="271"/>
      <c r="D103" s="272"/>
      <c r="E103" s="271"/>
      <c r="F103" s="273"/>
      <c r="G103" s="247"/>
      <c r="H103" s="270" t="s">
        <v>557</v>
      </c>
      <c r="I103" s="271" t="s">
        <v>560</v>
      </c>
      <c r="J103" s="272" t="s">
        <v>574</v>
      </c>
      <c r="K103" s="271">
        <v>89201000</v>
      </c>
      <c r="L103" s="273">
        <v>89239899</v>
      </c>
    </row>
    <row r="104" spans="1:12" ht="11.1" customHeight="1" x14ac:dyDescent="0.2">
      <c r="A104" s="247"/>
      <c r="B104" s="261"/>
      <c r="C104" s="262"/>
      <c r="D104" s="263"/>
      <c r="E104" s="262"/>
      <c r="F104" s="264"/>
      <c r="G104" s="247"/>
      <c r="H104" s="261" t="s">
        <v>557</v>
      </c>
      <c r="I104" s="262" t="s">
        <v>575</v>
      </c>
      <c r="J104" s="263" t="s">
        <v>576</v>
      </c>
      <c r="K104" s="262">
        <v>88501000</v>
      </c>
      <c r="L104" s="264">
        <v>88531899</v>
      </c>
    </row>
    <row r="105" spans="1:12" ht="11.1" customHeight="1" x14ac:dyDescent="0.2">
      <c r="A105" s="247"/>
      <c r="B105" s="270"/>
      <c r="C105" s="271"/>
      <c r="D105" s="272"/>
      <c r="E105" s="271"/>
      <c r="F105" s="273"/>
      <c r="G105" s="247"/>
      <c r="H105" s="270" t="s">
        <v>557</v>
      </c>
      <c r="I105" s="271" t="s">
        <v>577</v>
      </c>
      <c r="J105" s="272" t="s">
        <v>578</v>
      </c>
      <c r="K105" s="271">
        <v>88790000</v>
      </c>
      <c r="L105" s="273">
        <v>88790000</v>
      </c>
    </row>
    <row r="106" spans="1:12" ht="11.1" customHeight="1" x14ac:dyDescent="0.2">
      <c r="A106" s="247"/>
      <c r="B106" s="261"/>
      <c r="C106" s="262"/>
      <c r="D106" s="263"/>
      <c r="E106" s="262"/>
      <c r="F106" s="264"/>
      <c r="G106" s="247"/>
      <c r="H106" s="261" t="s">
        <v>557</v>
      </c>
      <c r="I106" s="262" t="s">
        <v>579</v>
      </c>
      <c r="J106" s="263" t="s">
        <v>580</v>
      </c>
      <c r="K106" s="262">
        <v>89300000</v>
      </c>
      <c r="L106" s="264">
        <v>89306070</v>
      </c>
    </row>
    <row r="107" spans="1:12" ht="11.1" customHeight="1" x14ac:dyDescent="0.2">
      <c r="A107" s="247"/>
      <c r="B107" s="270"/>
      <c r="C107" s="271"/>
      <c r="D107" s="272"/>
      <c r="E107" s="271"/>
      <c r="F107" s="273"/>
      <c r="G107" s="247"/>
      <c r="H107" s="270" t="s">
        <v>557</v>
      </c>
      <c r="I107" s="271" t="s">
        <v>579</v>
      </c>
      <c r="J107" s="272" t="s">
        <v>580</v>
      </c>
      <c r="K107" s="271">
        <v>89300000</v>
      </c>
      <c r="L107" s="273">
        <v>89306070</v>
      </c>
    </row>
    <row r="108" spans="1:12" ht="11.1" customHeight="1" x14ac:dyDescent="0.2">
      <c r="A108" s="247"/>
      <c r="B108" s="261"/>
      <c r="C108" s="262"/>
      <c r="D108" s="263"/>
      <c r="E108" s="262"/>
      <c r="F108" s="264"/>
      <c r="G108" s="247"/>
      <c r="H108" s="261" t="s">
        <v>557</v>
      </c>
      <c r="I108" s="262" t="s">
        <v>558</v>
      </c>
      <c r="J108" s="263" t="s">
        <v>581</v>
      </c>
      <c r="K108" s="262">
        <v>88370001</v>
      </c>
      <c r="L108" s="264">
        <v>88379899</v>
      </c>
    </row>
    <row r="109" spans="1:12" ht="11.1" customHeight="1" x14ac:dyDescent="0.2">
      <c r="A109" s="247"/>
      <c r="B109" s="270"/>
      <c r="C109" s="271"/>
      <c r="D109" s="272"/>
      <c r="E109" s="271"/>
      <c r="F109" s="273"/>
      <c r="G109" s="247"/>
      <c r="H109" s="270" t="s">
        <v>557</v>
      </c>
      <c r="I109" s="271" t="s">
        <v>563</v>
      </c>
      <c r="J109" s="272" t="s">
        <v>582</v>
      </c>
      <c r="K109" s="271">
        <v>88210000</v>
      </c>
      <c r="L109" s="273">
        <v>88210000</v>
      </c>
    </row>
    <row r="110" spans="1:12" ht="11.1" customHeight="1" x14ac:dyDescent="0.2">
      <c r="A110" s="247"/>
      <c r="B110" s="261"/>
      <c r="C110" s="262"/>
      <c r="D110" s="263"/>
      <c r="E110" s="262"/>
      <c r="F110" s="264"/>
      <c r="G110" s="247"/>
      <c r="H110" s="261" t="s">
        <v>557</v>
      </c>
      <c r="I110" s="262" t="s">
        <v>583</v>
      </c>
      <c r="J110" s="263" t="s">
        <v>584</v>
      </c>
      <c r="K110" s="262">
        <v>89160001</v>
      </c>
      <c r="L110" s="264">
        <v>89169899</v>
      </c>
    </row>
    <row r="111" spans="1:12" ht="11.1" customHeight="1" x14ac:dyDescent="0.2">
      <c r="A111" s="247"/>
      <c r="B111" s="270"/>
      <c r="C111" s="271"/>
      <c r="D111" s="272"/>
      <c r="E111" s="271"/>
      <c r="F111" s="273"/>
      <c r="G111" s="247"/>
      <c r="H111" s="270" t="s">
        <v>557</v>
      </c>
      <c r="I111" s="271" t="s">
        <v>579</v>
      </c>
      <c r="J111" s="272" t="s">
        <v>585</v>
      </c>
      <c r="K111" s="271">
        <v>89295000</v>
      </c>
      <c r="L111" s="273">
        <v>89295000</v>
      </c>
    </row>
    <row r="112" spans="1:12" ht="11.1" customHeight="1" x14ac:dyDescent="0.2">
      <c r="A112" s="247"/>
      <c r="B112" s="261"/>
      <c r="C112" s="262"/>
      <c r="D112" s="263"/>
      <c r="E112" s="262"/>
      <c r="F112" s="264"/>
      <c r="G112" s="247"/>
      <c r="H112" s="261" t="s">
        <v>557</v>
      </c>
      <c r="I112" s="262" t="s">
        <v>560</v>
      </c>
      <c r="J112" s="263" t="s">
        <v>586</v>
      </c>
      <c r="K112" s="262">
        <v>89240000</v>
      </c>
      <c r="L112" s="264">
        <v>89240000</v>
      </c>
    </row>
    <row r="113" spans="1:12" ht="11.1" customHeight="1" x14ac:dyDescent="0.2">
      <c r="A113" s="247"/>
      <c r="B113" s="270"/>
      <c r="C113" s="271"/>
      <c r="D113" s="272"/>
      <c r="E113" s="271"/>
      <c r="F113" s="273"/>
      <c r="G113" s="247"/>
      <c r="H113" s="270" t="s">
        <v>557</v>
      </c>
      <c r="I113" s="271" t="s">
        <v>566</v>
      </c>
      <c r="J113" s="272" t="s">
        <v>587</v>
      </c>
      <c r="K113" s="271">
        <v>89560000</v>
      </c>
      <c r="L113" s="273">
        <v>89567328</v>
      </c>
    </row>
    <row r="114" spans="1:12" ht="11.1" customHeight="1" x14ac:dyDescent="0.2">
      <c r="A114" s="247"/>
      <c r="B114" s="261"/>
      <c r="C114" s="262"/>
      <c r="D114" s="263"/>
      <c r="E114" s="262"/>
      <c r="F114" s="264"/>
      <c r="G114" s="247"/>
      <c r="H114" s="261" t="s">
        <v>557</v>
      </c>
      <c r="I114" s="262" t="s">
        <v>577</v>
      </c>
      <c r="J114" s="263" t="s">
        <v>588</v>
      </c>
      <c r="K114" s="262" t="s">
        <v>589</v>
      </c>
      <c r="L114" s="264" t="s">
        <v>590</v>
      </c>
    </row>
    <row r="115" spans="1:12" ht="11.1" customHeight="1" x14ac:dyDescent="0.2">
      <c r="A115" s="247"/>
      <c r="B115" s="270"/>
      <c r="C115" s="271"/>
      <c r="D115" s="272"/>
      <c r="E115" s="271"/>
      <c r="F115" s="273"/>
      <c r="G115" s="247"/>
      <c r="H115" s="270" t="s">
        <v>557</v>
      </c>
      <c r="I115" s="271" t="s">
        <v>577</v>
      </c>
      <c r="J115" s="272" t="s">
        <v>591</v>
      </c>
      <c r="K115" s="271" t="s">
        <v>592</v>
      </c>
      <c r="L115" s="273" t="s">
        <v>592</v>
      </c>
    </row>
    <row r="116" spans="1:12" ht="11.1" customHeight="1" x14ac:dyDescent="0.2">
      <c r="A116" s="247"/>
      <c r="B116" s="261"/>
      <c r="C116" s="262"/>
      <c r="D116" s="263"/>
      <c r="E116" s="262"/>
      <c r="F116" s="264"/>
      <c r="G116" s="247"/>
      <c r="H116" s="261" t="s">
        <v>557</v>
      </c>
      <c r="I116" s="262" t="s">
        <v>575</v>
      </c>
      <c r="J116" s="263" t="s">
        <v>593</v>
      </c>
      <c r="K116" s="262" t="s">
        <v>594</v>
      </c>
      <c r="L116" s="264" t="s">
        <v>594</v>
      </c>
    </row>
    <row r="117" spans="1:12" ht="11.1" customHeight="1" x14ac:dyDescent="0.2">
      <c r="A117" s="247"/>
      <c r="B117" s="270"/>
      <c r="C117" s="271"/>
      <c r="D117" s="272"/>
      <c r="E117" s="271"/>
      <c r="F117" s="273"/>
      <c r="G117" s="247"/>
      <c r="H117" s="270" t="s">
        <v>557</v>
      </c>
      <c r="I117" s="271" t="s">
        <v>568</v>
      </c>
      <c r="J117" s="272" t="s">
        <v>595</v>
      </c>
      <c r="K117" s="271" t="s">
        <v>596</v>
      </c>
      <c r="L117" s="273" t="s">
        <v>596</v>
      </c>
    </row>
    <row r="118" spans="1:12" ht="11.1" customHeight="1" x14ac:dyDescent="0.2">
      <c r="A118" s="247"/>
      <c r="B118" s="261"/>
      <c r="C118" s="262"/>
      <c r="D118" s="263"/>
      <c r="E118" s="262"/>
      <c r="F118" s="264"/>
      <c r="G118" s="247"/>
      <c r="H118" s="261" t="s">
        <v>557</v>
      </c>
      <c r="I118" s="262" t="s">
        <v>570</v>
      </c>
      <c r="J118" s="263" t="s">
        <v>597</v>
      </c>
      <c r="K118" s="262" t="s">
        <v>598</v>
      </c>
      <c r="L118" s="264" t="s">
        <v>598</v>
      </c>
    </row>
    <row r="119" spans="1:12" ht="11.1" customHeight="1" x14ac:dyDescent="0.2">
      <c r="A119" s="247"/>
      <c r="B119" s="270"/>
      <c r="C119" s="271"/>
      <c r="D119" s="272"/>
      <c r="E119" s="271"/>
      <c r="F119" s="273"/>
      <c r="G119" s="247"/>
      <c r="H119" s="270" t="s">
        <v>557</v>
      </c>
      <c r="I119" s="271" t="s">
        <v>575</v>
      </c>
      <c r="J119" s="272" t="s">
        <v>599</v>
      </c>
      <c r="K119" s="271" t="s">
        <v>600</v>
      </c>
      <c r="L119" s="273" t="s">
        <v>600</v>
      </c>
    </row>
    <row r="120" spans="1:12" ht="11.1" customHeight="1" x14ac:dyDescent="0.2">
      <c r="A120" s="247"/>
      <c r="B120" s="261"/>
      <c r="C120" s="262"/>
      <c r="D120" s="263"/>
      <c r="E120" s="262"/>
      <c r="F120" s="264"/>
      <c r="G120" s="247"/>
      <c r="H120" s="261" t="s">
        <v>557</v>
      </c>
      <c r="I120" s="262" t="s">
        <v>579</v>
      </c>
      <c r="J120" s="263" t="s">
        <v>601</v>
      </c>
      <c r="K120" s="262" t="s">
        <v>602</v>
      </c>
      <c r="L120" s="264" t="s">
        <v>603</v>
      </c>
    </row>
    <row r="121" spans="1:12" ht="11.1" customHeight="1" x14ac:dyDescent="0.2">
      <c r="A121" s="247"/>
      <c r="B121" s="270"/>
      <c r="C121" s="271"/>
      <c r="D121" s="272"/>
      <c r="E121" s="271"/>
      <c r="F121" s="273"/>
      <c r="G121" s="247"/>
      <c r="H121" s="270" t="s">
        <v>557</v>
      </c>
      <c r="I121" s="271" t="s">
        <v>568</v>
      </c>
      <c r="J121" s="272" t="s">
        <v>604</v>
      </c>
      <c r="K121" s="271" t="s">
        <v>605</v>
      </c>
      <c r="L121" s="273" t="s">
        <v>605</v>
      </c>
    </row>
    <row r="122" spans="1:12" ht="11.1" customHeight="1" x14ac:dyDescent="0.2">
      <c r="A122" s="247"/>
      <c r="B122" s="261"/>
      <c r="C122" s="262"/>
      <c r="D122" s="263"/>
      <c r="E122" s="262"/>
      <c r="F122" s="264"/>
      <c r="G122" s="247"/>
      <c r="H122" s="261" t="s">
        <v>606</v>
      </c>
      <c r="I122" s="262" t="s">
        <v>607</v>
      </c>
      <c r="J122" s="263" t="s">
        <v>608</v>
      </c>
      <c r="K122" s="262">
        <v>49000001</v>
      </c>
      <c r="L122" s="264">
        <v>49097710</v>
      </c>
    </row>
    <row r="123" spans="1:12" ht="11.1" customHeight="1" x14ac:dyDescent="0.2">
      <c r="A123" s="247"/>
      <c r="B123" s="270"/>
      <c r="C123" s="271"/>
      <c r="D123" s="272"/>
      <c r="E123" s="271"/>
      <c r="F123" s="273"/>
      <c r="G123" s="247"/>
      <c r="H123" s="270" t="s">
        <v>609</v>
      </c>
      <c r="I123" s="271" t="s">
        <v>610</v>
      </c>
      <c r="J123" s="272" t="s">
        <v>611</v>
      </c>
      <c r="K123" s="271">
        <v>13465005</v>
      </c>
      <c r="L123" s="273">
        <v>13479900</v>
      </c>
    </row>
    <row r="124" spans="1:12" ht="11.1" customHeight="1" x14ac:dyDescent="0.2">
      <c r="A124" s="247"/>
      <c r="B124" s="261"/>
      <c r="C124" s="262"/>
      <c r="D124" s="263"/>
      <c r="E124" s="262"/>
      <c r="F124" s="264"/>
      <c r="G124" s="247"/>
      <c r="H124" s="261" t="s">
        <v>609</v>
      </c>
      <c r="I124" s="262" t="s">
        <v>610</v>
      </c>
      <c r="J124" s="263" t="s">
        <v>612</v>
      </c>
      <c r="K124" s="262">
        <v>13900005</v>
      </c>
      <c r="L124" s="264">
        <v>13909900</v>
      </c>
    </row>
    <row r="125" spans="1:12" ht="11.1" customHeight="1" x14ac:dyDescent="0.2">
      <c r="A125" s="247"/>
      <c r="B125" s="270"/>
      <c r="C125" s="271"/>
      <c r="D125" s="272"/>
      <c r="E125" s="271"/>
      <c r="F125" s="273"/>
      <c r="G125" s="247"/>
      <c r="H125" s="270" t="s">
        <v>609</v>
      </c>
      <c r="I125" s="271" t="s">
        <v>613</v>
      </c>
      <c r="J125" s="272" t="s">
        <v>614</v>
      </c>
      <c r="K125" s="271">
        <v>14800005</v>
      </c>
      <c r="L125" s="273">
        <v>14811899</v>
      </c>
    </row>
    <row r="126" spans="1:12" ht="11.1" customHeight="1" x14ac:dyDescent="0.2">
      <c r="A126" s="247"/>
      <c r="B126" s="261"/>
      <c r="C126" s="262"/>
      <c r="D126" s="263"/>
      <c r="E126" s="262"/>
      <c r="F126" s="264"/>
      <c r="G126" s="247"/>
      <c r="H126" s="261" t="s">
        <v>609</v>
      </c>
      <c r="I126" s="262" t="s">
        <v>615</v>
      </c>
      <c r="J126" s="263" t="s">
        <v>616</v>
      </c>
      <c r="K126" s="262">
        <v>7400015</v>
      </c>
      <c r="L126" s="264">
        <v>7499899</v>
      </c>
    </row>
    <row r="127" spans="1:12" ht="11.1" customHeight="1" x14ac:dyDescent="0.2">
      <c r="A127" s="247"/>
      <c r="B127" s="270"/>
      <c r="C127" s="271"/>
      <c r="D127" s="272"/>
      <c r="E127" s="271"/>
      <c r="F127" s="273"/>
      <c r="G127" s="247"/>
      <c r="H127" s="270" t="s">
        <v>609</v>
      </c>
      <c r="I127" s="271" t="s">
        <v>610</v>
      </c>
      <c r="J127" s="272" t="s">
        <v>617</v>
      </c>
      <c r="K127" s="271">
        <v>12940060</v>
      </c>
      <c r="L127" s="273">
        <v>12954905</v>
      </c>
    </row>
    <row r="128" spans="1:12" ht="11.1" customHeight="1" x14ac:dyDescent="0.2">
      <c r="A128" s="247"/>
      <c r="B128" s="261"/>
      <c r="C128" s="262"/>
      <c r="D128" s="263"/>
      <c r="E128" s="262"/>
      <c r="F128" s="264"/>
      <c r="G128" s="247"/>
      <c r="H128" s="261" t="s">
        <v>609</v>
      </c>
      <c r="I128" s="262" t="s">
        <v>615</v>
      </c>
      <c r="J128" s="263" t="s">
        <v>618</v>
      </c>
      <c r="K128" s="262">
        <v>6401000</v>
      </c>
      <c r="L128" s="264">
        <v>6499899</v>
      </c>
    </row>
    <row r="129" spans="1:13" ht="11.1" customHeight="1" x14ac:dyDescent="0.2">
      <c r="A129" s="247"/>
      <c r="B129" s="270"/>
      <c r="C129" s="271"/>
      <c r="D129" s="272"/>
      <c r="E129" s="271"/>
      <c r="F129" s="273"/>
      <c r="G129" s="247"/>
      <c r="H129" s="270" t="s">
        <v>609</v>
      </c>
      <c r="I129" s="271" t="s">
        <v>619</v>
      </c>
      <c r="J129" s="272" t="s">
        <v>620</v>
      </c>
      <c r="K129" s="271">
        <v>17010000</v>
      </c>
      <c r="L129" s="273">
        <v>17110972</v>
      </c>
    </row>
    <row r="130" spans="1:13" ht="11.1" customHeight="1" x14ac:dyDescent="0.2">
      <c r="A130" s="247"/>
      <c r="B130" s="261"/>
      <c r="C130" s="262"/>
      <c r="D130" s="263"/>
      <c r="E130" s="262"/>
      <c r="F130" s="264"/>
      <c r="G130" s="247"/>
      <c r="H130" s="261" t="s">
        <v>609</v>
      </c>
      <c r="I130" s="262" t="s">
        <v>621</v>
      </c>
      <c r="J130" s="263" t="s">
        <v>622</v>
      </c>
      <c r="K130" s="262">
        <v>16200001</v>
      </c>
      <c r="L130" s="264">
        <v>16209899</v>
      </c>
    </row>
    <row r="131" spans="1:13" ht="11.1" customHeight="1" x14ac:dyDescent="0.2">
      <c r="A131" s="247"/>
      <c r="B131" s="270"/>
      <c r="C131" s="271"/>
      <c r="D131" s="272"/>
      <c r="E131" s="271"/>
      <c r="F131" s="273"/>
      <c r="G131" s="247"/>
      <c r="H131" s="270" t="s">
        <v>609</v>
      </c>
      <c r="I131" s="271" t="s">
        <v>610</v>
      </c>
      <c r="J131" s="272" t="s">
        <v>623</v>
      </c>
      <c r="K131" s="271">
        <v>12900002</v>
      </c>
      <c r="L131" s="273">
        <v>12929902</v>
      </c>
    </row>
    <row r="132" spans="1:13" ht="11.1" customHeight="1" x14ac:dyDescent="0.2">
      <c r="A132" s="247"/>
      <c r="B132" s="261"/>
      <c r="C132" s="262"/>
      <c r="D132" s="263"/>
      <c r="E132" s="262"/>
      <c r="F132" s="264"/>
      <c r="G132" s="247"/>
      <c r="H132" s="261" t="s">
        <v>609</v>
      </c>
      <c r="I132" s="262" t="s">
        <v>615</v>
      </c>
      <c r="J132" s="263" t="s">
        <v>624</v>
      </c>
      <c r="K132" s="262">
        <v>8940000</v>
      </c>
      <c r="L132" s="264">
        <v>8940000</v>
      </c>
    </row>
    <row r="133" spans="1:13" ht="11.1" customHeight="1" x14ac:dyDescent="0.2">
      <c r="A133" s="247"/>
      <c r="B133" s="270"/>
      <c r="C133" s="271"/>
      <c r="D133" s="272"/>
      <c r="E133" s="271"/>
      <c r="F133" s="273"/>
      <c r="G133" s="247"/>
      <c r="H133" s="270" t="s">
        <v>609</v>
      </c>
      <c r="I133" s="271" t="s">
        <v>615</v>
      </c>
      <c r="J133" s="272" t="s">
        <v>625</v>
      </c>
      <c r="K133" s="271">
        <v>7700001</v>
      </c>
      <c r="L133" s="273">
        <v>7749899</v>
      </c>
      <c r="M133" s="258"/>
    </row>
    <row r="134" spans="1:13" ht="11.1" customHeight="1" x14ac:dyDescent="0.2">
      <c r="A134" s="247"/>
      <c r="B134" s="261"/>
      <c r="C134" s="262"/>
      <c r="D134" s="263"/>
      <c r="E134" s="262"/>
      <c r="F134" s="264"/>
      <c r="G134" s="247"/>
      <c r="H134" s="261" t="s">
        <v>609</v>
      </c>
      <c r="I134" s="262" t="s">
        <v>615</v>
      </c>
      <c r="J134" s="263" t="s">
        <v>626</v>
      </c>
      <c r="K134" s="262">
        <v>7750020</v>
      </c>
      <c r="L134" s="264">
        <v>7799899</v>
      </c>
      <c r="M134" s="258"/>
    </row>
    <row r="135" spans="1:13" ht="11.1" customHeight="1" x14ac:dyDescent="0.2">
      <c r="A135" s="247"/>
      <c r="B135" s="270"/>
      <c r="C135" s="271"/>
      <c r="D135" s="272"/>
      <c r="E135" s="271"/>
      <c r="F135" s="273"/>
      <c r="G135" s="247"/>
      <c r="H135" s="270" t="s">
        <v>609</v>
      </c>
      <c r="I135" s="271" t="s">
        <v>610</v>
      </c>
      <c r="J135" s="272" t="s">
        <v>627</v>
      </c>
      <c r="K135" s="271">
        <v>13010000</v>
      </c>
      <c r="L135" s="273">
        <v>13139899</v>
      </c>
      <c r="M135" s="258"/>
    </row>
    <row r="136" spans="1:13" ht="11.1" customHeight="1" x14ac:dyDescent="0.2">
      <c r="A136" s="247"/>
      <c r="B136" s="261"/>
      <c r="C136" s="262"/>
      <c r="D136" s="263"/>
      <c r="E136" s="262"/>
      <c r="F136" s="264"/>
      <c r="G136" s="247"/>
      <c r="H136" s="261" t="s">
        <v>609</v>
      </c>
      <c r="I136" s="262" t="s">
        <v>610</v>
      </c>
      <c r="J136" s="263" t="s">
        <v>628</v>
      </c>
      <c r="K136" s="262">
        <v>13230001</v>
      </c>
      <c r="L136" s="264">
        <v>13239899</v>
      </c>
      <c r="M136" s="258"/>
    </row>
    <row r="137" spans="1:13" ht="11.1" customHeight="1" x14ac:dyDescent="0.2">
      <c r="A137" s="247"/>
      <c r="B137" s="270"/>
      <c r="C137" s="271"/>
      <c r="D137" s="272"/>
      <c r="E137" s="271"/>
      <c r="F137" s="273"/>
      <c r="G137" s="247"/>
      <c r="H137" s="270" t="s">
        <v>609</v>
      </c>
      <c r="I137" s="271" t="s">
        <v>629</v>
      </c>
      <c r="J137" s="272" t="s">
        <v>630</v>
      </c>
      <c r="K137" s="271">
        <v>18300005</v>
      </c>
      <c r="L137" s="273">
        <v>18308899</v>
      </c>
      <c r="M137" s="258"/>
    </row>
    <row r="138" spans="1:13" ht="11.1" customHeight="1" x14ac:dyDescent="0.2">
      <c r="A138" s="247"/>
      <c r="B138" s="261"/>
      <c r="C138" s="262"/>
      <c r="D138" s="263"/>
      <c r="E138" s="262"/>
      <c r="F138" s="264"/>
      <c r="G138" s="247"/>
      <c r="H138" s="261" t="s">
        <v>609</v>
      </c>
      <c r="I138" s="262" t="s">
        <v>615</v>
      </c>
      <c r="J138" s="263" t="s">
        <v>631</v>
      </c>
      <c r="K138" s="262">
        <v>6310010</v>
      </c>
      <c r="L138" s="264">
        <v>6399899</v>
      </c>
      <c r="M138" s="258"/>
    </row>
    <row r="139" spans="1:13" ht="11.1" customHeight="1" x14ac:dyDescent="0.2">
      <c r="A139" s="247"/>
      <c r="B139" s="270"/>
      <c r="C139" s="271"/>
      <c r="D139" s="272"/>
      <c r="E139" s="271"/>
      <c r="F139" s="273"/>
      <c r="G139" s="247"/>
      <c r="H139" s="270" t="s">
        <v>609</v>
      </c>
      <c r="I139" s="271" t="s">
        <v>632</v>
      </c>
      <c r="J139" s="272" t="s">
        <v>633</v>
      </c>
      <c r="K139" s="271">
        <v>15800003</v>
      </c>
      <c r="L139" s="273">
        <v>15819899</v>
      </c>
      <c r="M139" s="258"/>
    </row>
    <row r="140" spans="1:13" ht="11.1" customHeight="1" x14ac:dyDescent="0.2">
      <c r="A140" s="247"/>
      <c r="B140" s="261"/>
      <c r="C140" s="262"/>
      <c r="D140" s="263"/>
      <c r="E140" s="262"/>
      <c r="F140" s="264"/>
      <c r="G140" s="247"/>
      <c r="H140" s="261" t="s">
        <v>609</v>
      </c>
      <c r="I140" s="262" t="s">
        <v>615</v>
      </c>
      <c r="J140" s="263" t="s">
        <v>634</v>
      </c>
      <c r="K140" s="262">
        <v>6700020</v>
      </c>
      <c r="L140" s="264">
        <v>6729899</v>
      </c>
      <c r="M140" s="258"/>
    </row>
    <row r="141" spans="1:13" ht="11.1" customHeight="1" x14ac:dyDescent="0.2">
      <c r="A141" s="247"/>
      <c r="B141" s="270"/>
      <c r="C141" s="271"/>
      <c r="D141" s="272"/>
      <c r="E141" s="271"/>
      <c r="F141" s="273"/>
      <c r="G141" s="247"/>
      <c r="H141" s="270" t="s">
        <v>609</v>
      </c>
      <c r="I141" s="271" t="s">
        <v>635</v>
      </c>
      <c r="J141" s="272" t="s">
        <v>636</v>
      </c>
      <c r="K141" s="271">
        <v>11500005</v>
      </c>
      <c r="L141" s="273">
        <v>11599899</v>
      </c>
      <c r="M141" s="258"/>
    </row>
    <row r="142" spans="1:13" ht="11.1" customHeight="1" x14ac:dyDescent="0.2">
      <c r="A142" s="247"/>
      <c r="B142" s="261"/>
      <c r="C142" s="262"/>
      <c r="D142" s="263"/>
      <c r="E142" s="262"/>
      <c r="F142" s="264"/>
      <c r="G142" s="247"/>
      <c r="H142" s="261" t="s">
        <v>609</v>
      </c>
      <c r="I142" s="262" t="s">
        <v>615</v>
      </c>
      <c r="J142" s="263" t="s">
        <v>637</v>
      </c>
      <c r="K142" s="262">
        <v>9910000</v>
      </c>
      <c r="L142" s="264">
        <v>9999899</v>
      </c>
      <c r="M142" s="258"/>
    </row>
    <row r="143" spans="1:13" ht="11.1" customHeight="1" x14ac:dyDescent="0.2">
      <c r="A143" s="247"/>
      <c r="B143" s="270"/>
      <c r="C143" s="271"/>
      <c r="D143" s="272"/>
      <c r="E143" s="271"/>
      <c r="F143" s="273"/>
      <c r="G143" s="247"/>
      <c r="H143" s="270" t="s">
        <v>609</v>
      </c>
      <c r="I143" s="271" t="s">
        <v>615</v>
      </c>
      <c r="J143" s="272" t="s">
        <v>638</v>
      </c>
      <c r="K143" s="271">
        <v>6803000</v>
      </c>
      <c r="L143" s="273">
        <v>6849899</v>
      </c>
      <c r="M143" s="258"/>
    </row>
    <row r="144" spans="1:13" ht="11.1" customHeight="1" x14ac:dyDescent="0.2">
      <c r="A144" s="247"/>
      <c r="B144" s="261"/>
      <c r="C144" s="262"/>
      <c r="D144" s="263"/>
      <c r="E144" s="262"/>
      <c r="F144" s="264"/>
      <c r="G144" s="247"/>
      <c r="H144" s="261" t="s">
        <v>609</v>
      </c>
      <c r="I144" s="262" t="s">
        <v>615</v>
      </c>
      <c r="J144" s="263" t="s">
        <v>639</v>
      </c>
      <c r="K144" s="262">
        <v>6900000</v>
      </c>
      <c r="L144" s="264">
        <v>6900971</v>
      </c>
      <c r="M144" s="258"/>
    </row>
    <row r="145" spans="1:13" ht="11.1" customHeight="1" x14ac:dyDescent="0.2">
      <c r="A145" s="247"/>
      <c r="B145" s="270"/>
      <c r="C145" s="271"/>
      <c r="D145" s="272"/>
      <c r="E145" s="271"/>
      <c r="F145" s="273"/>
      <c r="G145" s="247"/>
      <c r="H145" s="270" t="s">
        <v>609</v>
      </c>
      <c r="I145" s="271" t="s">
        <v>640</v>
      </c>
      <c r="J145" s="272" t="s">
        <v>641</v>
      </c>
      <c r="K145" s="271">
        <v>15600000</v>
      </c>
      <c r="L145" s="273">
        <v>15614000</v>
      </c>
      <c r="M145" s="258"/>
    </row>
    <row r="146" spans="1:13" ht="11.1" customHeight="1" x14ac:dyDescent="0.2">
      <c r="A146" s="247"/>
      <c r="B146" s="261"/>
      <c r="C146" s="262"/>
      <c r="D146" s="263"/>
      <c r="E146" s="262"/>
      <c r="F146" s="264"/>
      <c r="G146" s="247"/>
      <c r="H146" s="261" t="s">
        <v>609</v>
      </c>
      <c r="I146" s="262" t="s">
        <v>615</v>
      </c>
      <c r="J146" s="263" t="s">
        <v>642</v>
      </c>
      <c r="K146" s="262">
        <v>8500010</v>
      </c>
      <c r="L146" s="264">
        <v>8549899</v>
      </c>
      <c r="M146" s="258"/>
    </row>
    <row r="147" spans="1:13" ht="11.1" customHeight="1" x14ac:dyDescent="0.2">
      <c r="A147" s="247"/>
      <c r="B147" s="270"/>
      <c r="C147" s="271"/>
      <c r="D147" s="272"/>
      <c r="E147" s="271"/>
      <c r="F147" s="273"/>
      <c r="G147" s="247"/>
      <c r="H147" s="270" t="s">
        <v>609</v>
      </c>
      <c r="I147" s="271" t="s">
        <v>615</v>
      </c>
      <c r="J147" s="272" t="s">
        <v>643</v>
      </c>
      <c r="K147" s="271">
        <v>7901000</v>
      </c>
      <c r="L147" s="273">
        <v>7999899</v>
      </c>
      <c r="M147" s="258"/>
    </row>
    <row r="148" spans="1:13" ht="11.1" customHeight="1" x14ac:dyDescent="0.2">
      <c r="A148" s="247"/>
      <c r="B148" s="261"/>
      <c r="C148" s="262"/>
      <c r="D148" s="263"/>
      <c r="E148" s="262"/>
      <c r="F148" s="264"/>
      <c r="G148" s="247"/>
      <c r="H148" s="261" t="s">
        <v>609</v>
      </c>
      <c r="I148" s="262" t="s">
        <v>615</v>
      </c>
      <c r="J148" s="263" t="s">
        <v>644</v>
      </c>
      <c r="K148" s="262">
        <v>7801000</v>
      </c>
      <c r="L148" s="264">
        <v>7899899</v>
      </c>
      <c r="M148" s="258"/>
    </row>
    <row r="149" spans="1:13" ht="11.1" customHeight="1" x14ac:dyDescent="0.2">
      <c r="A149" s="247"/>
      <c r="B149" s="270"/>
      <c r="C149" s="271"/>
      <c r="D149" s="272"/>
      <c r="E149" s="271"/>
      <c r="F149" s="273"/>
      <c r="G149" s="247"/>
      <c r="H149" s="270" t="s">
        <v>609</v>
      </c>
      <c r="I149" s="271" t="s">
        <v>635</v>
      </c>
      <c r="J149" s="272" t="s">
        <v>645</v>
      </c>
      <c r="K149" s="271">
        <v>11410000</v>
      </c>
      <c r="L149" s="273">
        <v>11499899</v>
      </c>
      <c r="M149" s="258"/>
    </row>
    <row r="150" spans="1:13" ht="11.1" customHeight="1" x14ac:dyDescent="0.2">
      <c r="A150" s="247"/>
      <c r="B150" s="261"/>
      <c r="C150" s="262"/>
      <c r="D150" s="263"/>
      <c r="E150" s="262"/>
      <c r="F150" s="264"/>
      <c r="G150" s="247"/>
      <c r="H150" s="261" t="s">
        <v>609</v>
      </c>
      <c r="I150" s="262" t="s">
        <v>615</v>
      </c>
      <c r="J150" s="263" t="s">
        <v>646</v>
      </c>
      <c r="K150" s="262">
        <v>7010000</v>
      </c>
      <c r="L150" s="264">
        <v>7399899</v>
      </c>
      <c r="M150" s="258"/>
    </row>
    <row r="151" spans="1:13" ht="11.1" customHeight="1" x14ac:dyDescent="0.2">
      <c r="A151" s="247"/>
      <c r="B151" s="270"/>
      <c r="C151" s="271"/>
      <c r="D151" s="272"/>
      <c r="E151" s="271"/>
      <c r="F151" s="273"/>
      <c r="G151" s="247"/>
      <c r="H151" s="270" t="s">
        <v>609</v>
      </c>
      <c r="I151" s="271" t="s">
        <v>610</v>
      </c>
      <c r="J151" s="272" t="s">
        <v>647</v>
      </c>
      <c r="K151" s="271">
        <v>13330005</v>
      </c>
      <c r="L151" s="273">
        <v>13349899</v>
      </c>
      <c r="M151" s="258"/>
    </row>
    <row r="152" spans="1:13" ht="11.1" customHeight="1" x14ac:dyDescent="0.2">
      <c r="A152" s="247"/>
      <c r="B152" s="261"/>
      <c r="C152" s="262"/>
      <c r="D152" s="263"/>
      <c r="E152" s="262"/>
      <c r="F152" s="264"/>
      <c r="G152" s="247"/>
      <c r="H152" s="261" t="s">
        <v>609</v>
      </c>
      <c r="I152" s="262" t="s">
        <v>648</v>
      </c>
      <c r="J152" s="263" t="s">
        <v>649</v>
      </c>
      <c r="K152" s="262">
        <v>18330000</v>
      </c>
      <c r="L152" s="264">
        <v>18330000</v>
      </c>
      <c r="M152" s="258"/>
    </row>
    <row r="153" spans="1:13" ht="11.1" customHeight="1" x14ac:dyDescent="0.2">
      <c r="A153" s="247"/>
      <c r="B153" s="270"/>
      <c r="C153" s="271"/>
      <c r="D153" s="272"/>
      <c r="E153" s="271"/>
      <c r="F153" s="273"/>
      <c r="G153" s="247"/>
      <c r="H153" s="270" t="s">
        <v>609</v>
      </c>
      <c r="I153" s="271" t="s">
        <v>615</v>
      </c>
      <c r="J153" s="272" t="s">
        <v>650</v>
      </c>
      <c r="K153" s="271">
        <v>6850001</v>
      </c>
      <c r="L153" s="273">
        <v>6889899</v>
      </c>
      <c r="M153" s="258"/>
    </row>
    <row r="154" spans="1:13" ht="11.1" customHeight="1" x14ac:dyDescent="0.2">
      <c r="A154" s="247"/>
      <c r="B154" s="261"/>
      <c r="C154" s="262"/>
      <c r="D154" s="263"/>
      <c r="E154" s="262"/>
      <c r="F154" s="264"/>
      <c r="G154" s="247"/>
      <c r="H154" s="261" t="s">
        <v>609</v>
      </c>
      <c r="I154" s="262" t="s">
        <v>651</v>
      </c>
      <c r="J154" s="263" t="s">
        <v>652</v>
      </c>
      <c r="K154" s="262">
        <v>18200001</v>
      </c>
      <c r="L154" s="264">
        <v>18218971</v>
      </c>
      <c r="M154" s="258"/>
    </row>
    <row r="155" spans="1:13" ht="11.1" customHeight="1" x14ac:dyDescent="0.2">
      <c r="A155" s="247"/>
      <c r="B155" s="270"/>
      <c r="C155" s="271"/>
      <c r="D155" s="272"/>
      <c r="E155" s="271"/>
      <c r="F155" s="273"/>
      <c r="G155" s="247"/>
      <c r="H155" s="270" t="s">
        <v>609</v>
      </c>
      <c r="I155" s="271" t="s">
        <v>615</v>
      </c>
      <c r="J155" s="272" t="s">
        <v>653</v>
      </c>
      <c r="K155" s="271">
        <v>6652000</v>
      </c>
      <c r="L155" s="273">
        <v>6699899</v>
      </c>
      <c r="M155" s="258"/>
    </row>
    <row r="156" spans="1:13" ht="11.1" customHeight="1" x14ac:dyDescent="0.2">
      <c r="A156" s="247"/>
      <c r="B156" s="261"/>
      <c r="C156" s="262"/>
      <c r="D156" s="263"/>
      <c r="E156" s="262"/>
      <c r="F156" s="264"/>
      <c r="G156" s="247"/>
      <c r="H156" s="261" t="s">
        <v>609</v>
      </c>
      <c r="I156" s="262" t="s">
        <v>615</v>
      </c>
      <c r="J156" s="263" t="s">
        <v>654</v>
      </c>
      <c r="K156" s="262">
        <v>8570002</v>
      </c>
      <c r="L156" s="264">
        <v>8599899</v>
      </c>
      <c r="M156" s="258"/>
    </row>
    <row r="157" spans="1:13" ht="11.1" customHeight="1" x14ac:dyDescent="0.2">
      <c r="A157" s="247"/>
      <c r="B157" s="270"/>
      <c r="C157" s="271"/>
      <c r="D157" s="272"/>
      <c r="E157" s="271"/>
      <c r="F157" s="273"/>
      <c r="G157" s="247"/>
      <c r="H157" s="270" t="s">
        <v>609</v>
      </c>
      <c r="I157" s="271" t="s">
        <v>610</v>
      </c>
      <c r="J157" s="272" t="s">
        <v>655</v>
      </c>
      <c r="K157" s="271">
        <v>13250005</v>
      </c>
      <c r="L157" s="273">
        <v>13258060</v>
      </c>
      <c r="M157" s="258"/>
    </row>
    <row r="158" spans="1:13" ht="11.1" customHeight="1" x14ac:dyDescent="0.2">
      <c r="A158" s="247"/>
      <c r="B158" s="261"/>
      <c r="C158" s="262"/>
      <c r="D158" s="263"/>
      <c r="E158" s="262"/>
      <c r="F158" s="264"/>
      <c r="G158" s="247"/>
      <c r="H158" s="261" t="s">
        <v>609</v>
      </c>
      <c r="I158" s="262" t="s">
        <v>610</v>
      </c>
      <c r="J158" s="263" t="s">
        <v>656</v>
      </c>
      <c r="K158" s="262">
        <v>13300003</v>
      </c>
      <c r="L158" s="264">
        <v>13314899</v>
      </c>
      <c r="M158" s="258"/>
    </row>
    <row r="159" spans="1:13" ht="11.1" customHeight="1" x14ac:dyDescent="0.2">
      <c r="A159" s="247"/>
      <c r="B159" s="270"/>
      <c r="C159" s="271"/>
      <c r="D159" s="272"/>
      <c r="E159" s="271"/>
      <c r="F159" s="273"/>
      <c r="G159" s="247"/>
      <c r="H159" s="270" t="s">
        <v>609</v>
      </c>
      <c r="I159" s="271" t="s">
        <v>613</v>
      </c>
      <c r="J159" s="272" t="s">
        <v>657</v>
      </c>
      <c r="K159" s="271">
        <v>14870010</v>
      </c>
      <c r="L159" s="273">
        <v>14898899</v>
      </c>
      <c r="M159" s="258"/>
    </row>
    <row r="160" spans="1:13" ht="11.1" customHeight="1" x14ac:dyDescent="0.2">
      <c r="A160" s="247"/>
      <c r="B160" s="261"/>
      <c r="C160" s="262"/>
      <c r="D160" s="263"/>
      <c r="E160" s="262"/>
      <c r="F160" s="264"/>
      <c r="G160" s="247"/>
      <c r="H160" s="261" t="s">
        <v>609</v>
      </c>
      <c r="I160" s="262" t="s">
        <v>615</v>
      </c>
      <c r="J160" s="263" t="s">
        <v>658</v>
      </c>
      <c r="K160" s="262">
        <v>6600005</v>
      </c>
      <c r="L160" s="264">
        <v>6649899</v>
      </c>
      <c r="M160" s="258"/>
    </row>
    <row r="161" spans="1:13" ht="11.1" customHeight="1" x14ac:dyDescent="0.2">
      <c r="A161" s="247"/>
      <c r="B161" s="270"/>
      <c r="C161" s="271"/>
      <c r="D161" s="272"/>
      <c r="E161" s="271"/>
      <c r="F161" s="273"/>
      <c r="G161" s="247"/>
      <c r="H161" s="270" t="s">
        <v>609</v>
      </c>
      <c r="I161" s="271" t="s">
        <v>610</v>
      </c>
      <c r="J161" s="272" t="s">
        <v>659</v>
      </c>
      <c r="K161" s="271">
        <v>13240000</v>
      </c>
      <c r="L161" s="273">
        <v>13240971</v>
      </c>
      <c r="M161" s="258"/>
    </row>
    <row r="162" spans="1:13" ht="11.1" customHeight="1" x14ac:dyDescent="0.2">
      <c r="A162" s="247"/>
      <c r="B162" s="261"/>
      <c r="C162" s="262"/>
      <c r="D162" s="263"/>
      <c r="E162" s="262"/>
      <c r="F162" s="264"/>
      <c r="G162" s="247"/>
      <c r="H162" s="261" t="s">
        <v>609</v>
      </c>
      <c r="I162" s="262" t="s">
        <v>660</v>
      </c>
      <c r="J162" s="263" t="s">
        <v>660</v>
      </c>
      <c r="K162" s="262">
        <v>17201000</v>
      </c>
      <c r="L162" s="264">
        <v>17220899</v>
      </c>
      <c r="M162" s="258"/>
    </row>
    <row r="163" spans="1:13" ht="11.1" customHeight="1" x14ac:dyDescent="0.2">
      <c r="A163" s="247"/>
      <c r="B163" s="270"/>
      <c r="C163" s="271"/>
      <c r="D163" s="272"/>
      <c r="E163" s="271"/>
      <c r="F163" s="273"/>
      <c r="G163" s="247"/>
      <c r="H163" s="270" t="s">
        <v>609</v>
      </c>
      <c r="I163" s="271" t="s">
        <v>610</v>
      </c>
      <c r="J163" s="272" t="s">
        <v>661</v>
      </c>
      <c r="K163" s="271">
        <v>13201000</v>
      </c>
      <c r="L163" s="273">
        <v>13219900</v>
      </c>
      <c r="M163" s="258"/>
    </row>
    <row r="164" spans="1:13" ht="11.1" customHeight="1" x14ac:dyDescent="0.2">
      <c r="A164" s="247"/>
      <c r="B164" s="261"/>
      <c r="C164" s="262"/>
      <c r="D164" s="263"/>
      <c r="E164" s="262"/>
      <c r="F164" s="264"/>
      <c r="G164" s="247"/>
      <c r="H164" s="261" t="s">
        <v>609</v>
      </c>
      <c r="I164" s="262" t="s">
        <v>615</v>
      </c>
      <c r="J164" s="263" t="s">
        <v>662</v>
      </c>
      <c r="K164" s="262">
        <v>6950000</v>
      </c>
      <c r="L164" s="264">
        <v>6950000</v>
      </c>
      <c r="M164" s="258"/>
    </row>
    <row r="165" spans="1:13" ht="11.1" customHeight="1" x14ac:dyDescent="0.2">
      <c r="A165" s="247"/>
      <c r="B165" s="270"/>
      <c r="C165" s="271"/>
      <c r="D165" s="272"/>
      <c r="E165" s="271"/>
      <c r="F165" s="273"/>
      <c r="G165" s="247"/>
      <c r="H165" s="270" t="s">
        <v>609</v>
      </c>
      <c r="I165" s="271" t="s">
        <v>610</v>
      </c>
      <c r="J165" s="272" t="s">
        <v>663</v>
      </c>
      <c r="K165" s="271">
        <v>13480001</v>
      </c>
      <c r="L165" s="273">
        <v>13489899</v>
      </c>
      <c r="M165" s="258"/>
    </row>
    <row r="166" spans="1:13" ht="11.1" customHeight="1" x14ac:dyDescent="0.2">
      <c r="A166" s="247"/>
      <c r="B166" s="261"/>
      <c r="C166" s="262"/>
      <c r="D166" s="263"/>
      <c r="E166" s="262"/>
      <c r="F166" s="264"/>
      <c r="G166" s="247"/>
      <c r="H166" s="261" t="s">
        <v>609</v>
      </c>
      <c r="I166" s="262" t="s">
        <v>615</v>
      </c>
      <c r="J166" s="263" t="s">
        <v>664</v>
      </c>
      <c r="K166" s="262">
        <v>7600000</v>
      </c>
      <c r="L166" s="264">
        <v>7662775</v>
      </c>
      <c r="M166" s="258"/>
    </row>
    <row r="167" spans="1:13" ht="11.1" customHeight="1" x14ac:dyDescent="0.2">
      <c r="A167" s="247"/>
      <c r="B167" s="270"/>
      <c r="C167" s="271"/>
      <c r="D167" s="272"/>
      <c r="E167" s="271"/>
      <c r="F167" s="273"/>
      <c r="G167" s="247"/>
      <c r="H167" s="270" t="s">
        <v>609</v>
      </c>
      <c r="I167" s="271" t="s">
        <v>665</v>
      </c>
      <c r="J167" s="272" t="s">
        <v>666</v>
      </c>
      <c r="K167" s="271">
        <v>17500001</v>
      </c>
      <c r="L167" s="273">
        <v>17539970</v>
      </c>
      <c r="M167" s="258"/>
    </row>
    <row r="168" spans="1:13" ht="11.1" customHeight="1" x14ac:dyDescent="0.2">
      <c r="A168" s="247"/>
      <c r="B168" s="261"/>
      <c r="C168" s="262"/>
      <c r="D168" s="263"/>
      <c r="E168" s="262"/>
      <c r="F168" s="264"/>
      <c r="G168" s="247"/>
      <c r="H168" s="261" t="s">
        <v>609</v>
      </c>
      <c r="I168" s="262" t="s">
        <v>615</v>
      </c>
      <c r="J168" s="263" t="s">
        <v>667</v>
      </c>
      <c r="K168" s="262">
        <v>9310000</v>
      </c>
      <c r="L168" s="264">
        <v>9399899</v>
      </c>
      <c r="M168" s="258"/>
    </row>
    <row r="169" spans="1:13" ht="11.1" customHeight="1" x14ac:dyDescent="0.2">
      <c r="A169" s="247"/>
      <c r="B169" s="270"/>
      <c r="C169" s="271"/>
      <c r="D169" s="272"/>
      <c r="E169" s="271"/>
      <c r="F169" s="273"/>
      <c r="G169" s="247"/>
      <c r="H169" s="270" t="s">
        <v>609</v>
      </c>
      <c r="I169" s="271" t="s">
        <v>613</v>
      </c>
      <c r="J169" s="272" t="s">
        <v>668</v>
      </c>
      <c r="K169" s="271">
        <v>13730005</v>
      </c>
      <c r="L169" s="273">
        <v>13749899</v>
      </c>
      <c r="M169" s="258"/>
    </row>
    <row r="170" spans="1:13" ht="11.1" customHeight="1" x14ac:dyDescent="0.2">
      <c r="A170" s="247"/>
      <c r="B170" s="261"/>
      <c r="C170" s="262"/>
      <c r="D170" s="263"/>
      <c r="E170" s="262"/>
      <c r="F170" s="264"/>
      <c r="G170" s="247"/>
      <c r="H170" s="261" t="s">
        <v>609</v>
      </c>
      <c r="I170" s="262" t="s">
        <v>615</v>
      </c>
      <c r="J170" s="263" t="s">
        <v>669</v>
      </c>
      <c r="K170" s="262">
        <v>8710000</v>
      </c>
      <c r="L170" s="264">
        <v>8889899</v>
      </c>
      <c r="M170" s="258"/>
    </row>
    <row r="171" spans="1:13" ht="11.1" customHeight="1" x14ac:dyDescent="0.2">
      <c r="A171" s="247"/>
      <c r="B171" s="270"/>
      <c r="C171" s="271"/>
      <c r="D171" s="272"/>
      <c r="E171" s="271"/>
      <c r="F171" s="273"/>
      <c r="G171" s="247"/>
      <c r="H171" s="270" t="s">
        <v>609</v>
      </c>
      <c r="I171" s="271" t="s">
        <v>670</v>
      </c>
      <c r="J171" s="272" t="s">
        <v>671</v>
      </c>
      <c r="K171" s="271">
        <v>12960000</v>
      </c>
      <c r="L171" s="273">
        <v>12960970</v>
      </c>
      <c r="M171" s="258"/>
    </row>
    <row r="172" spans="1:13" ht="11.1" customHeight="1" x14ac:dyDescent="0.2">
      <c r="A172" s="247"/>
      <c r="B172" s="261"/>
      <c r="C172" s="262"/>
      <c r="D172" s="263"/>
      <c r="E172" s="262"/>
      <c r="F172" s="264"/>
      <c r="G172" s="247"/>
      <c r="H172" s="261" t="s">
        <v>609</v>
      </c>
      <c r="I172" s="262" t="s">
        <v>615</v>
      </c>
      <c r="J172" s="263" t="s">
        <v>672</v>
      </c>
      <c r="K172" s="262">
        <v>6010000</v>
      </c>
      <c r="L172" s="264">
        <v>6299899</v>
      </c>
      <c r="M172" s="258"/>
    </row>
    <row r="173" spans="1:13" ht="11.1" customHeight="1" x14ac:dyDescent="0.2">
      <c r="A173" s="247"/>
      <c r="B173" s="270"/>
      <c r="C173" s="271"/>
      <c r="D173" s="272"/>
      <c r="E173" s="271"/>
      <c r="F173" s="273"/>
      <c r="G173" s="247"/>
      <c r="H173" s="270" t="s">
        <v>609</v>
      </c>
      <c r="I173" s="271" t="s">
        <v>670</v>
      </c>
      <c r="J173" s="272" t="s">
        <v>673</v>
      </c>
      <c r="K173" s="271">
        <v>12400010</v>
      </c>
      <c r="L173" s="273">
        <v>12449899</v>
      </c>
      <c r="M173" s="258"/>
    </row>
    <row r="174" spans="1:13" ht="11.1" customHeight="1" x14ac:dyDescent="0.2">
      <c r="A174" s="247"/>
      <c r="B174" s="261"/>
      <c r="C174" s="262"/>
      <c r="D174" s="263"/>
      <c r="E174" s="262"/>
      <c r="F174" s="264"/>
      <c r="G174" s="247"/>
      <c r="H174" s="261" t="s">
        <v>609</v>
      </c>
      <c r="I174" s="262" t="s">
        <v>670</v>
      </c>
      <c r="J174" s="263" t="s">
        <v>674</v>
      </c>
      <c r="K174" s="262">
        <v>12970000</v>
      </c>
      <c r="L174" s="264">
        <v>12970971</v>
      </c>
      <c r="M174" s="258"/>
    </row>
    <row r="175" spans="1:13" ht="11.1" customHeight="1" x14ac:dyDescent="0.2">
      <c r="A175" s="247"/>
      <c r="B175" s="270"/>
      <c r="C175" s="271"/>
      <c r="D175" s="272"/>
      <c r="E175" s="271"/>
      <c r="F175" s="273"/>
      <c r="G175" s="247"/>
      <c r="H175" s="270" t="s">
        <v>609</v>
      </c>
      <c r="I175" s="271" t="s">
        <v>610</v>
      </c>
      <c r="J175" s="272" t="s">
        <v>675</v>
      </c>
      <c r="K175" s="271">
        <v>13400005</v>
      </c>
      <c r="L175" s="273">
        <v>13433970</v>
      </c>
      <c r="M175" s="258"/>
    </row>
    <row r="176" spans="1:13" ht="11.1" customHeight="1" x14ac:dyDescent="0.2">
      <c r="A176" s="247"/>
      <c r="B176" s="261"/>
      <c r="C176" s="262"/>
      <c r="D176" s="263"/>
      <c r="E176" s="262"/>
      <c r="F176" s="264"/>
      <c r="G176" s="247"/>
      <c r="H176" s="261" t="s">
        <v>609</v>
      </c>
      <c r="I176" s="262" t="s">
        <v>615</v>
      </c>
      <c r="J176" s="263" t="s">
        <v>676</v>
      </c>
      <c r="K176" s="262">
        <v>8550010</v>
      </c>
      <c r="L176" s="264">
        <v>8569899</v>
      </c>
      <c r="M176" s="258"/>
    </row>
    <row r="177" spans="1:13" ht="11.1" customHeight="1" x14ac:dyDescent="0.2">
      <c r="A177" s="247"/>
      <c r="B177" s="270"/>
      <c r="C177" s="271"/>
      <c r="D177" s="272"/>
      <c r="E177" s="271"/>
      <c r="F177" s="273"/>
      <c r="G177" s="247"/>
      <c r="H177" s="270" t="s">
        <v>609</v>
      </c>
      <c r="I177" s="271" t="s">
        <v>635</v>
      </c>
      <c r="J177" s="272" t="s">
        <v>677</v>
      </c>
      <c r="K177" s="271">
        <v>11700005</v>
      </c>
      <c r="L177" s="273">
        <v>11729899</v>
      </c>
      <c r="M177" s="258"/>
    </row>
    <row r="178" spans="1:13" ht="11.1" customHeight="1" x14ac:dyDescent="0.2">
      <c r="A178" s="247"/>
      <c r="B178" s="261"/>
      <c r="C178" s="262"/>
      <c r="D178" s="263"/>
      <c r="E178" s="262"/>
      <c r="F178" s="264"/>
      <c r="G178" s="247"/>
      <c r="H178" s="261" t="s">
        <v>609</v>
      </c>
      <c r="I178" s="262" t="s">
        <v>678</v>
      </c>
      <c r="J178" s="263" t="s">
        <v>679</v>
      </c>
      <c r="K178" s="262">
        <v>19010000</v>
      </c>
      <c r="L178" s="264">
        <v>19140970</v>
      </c>
      <c r="M178" s="258"/>
    </row>
    <row r="179" spans="1:13" ht="11.1" customHeight="1" x14ac:dyDescent="0.2">
      <c r="A179" s="247"/>
      <c r="B179" s="270"/>
      <c r="C179" s="271"/>
      <c r="D179" s="272"/>
      <c r="E179" s="271"/>
      <c r="F179" s="273"/>
      <c r="G179" s="247"/>
      <c r="H179" s="270" t="s">
        <v>609</v>
      </c>
      <c r="I179" s="271" t="s">
        <v>615</v>
      </c>
      <c r="J179" s="272" t="s">
        <v>680</v>
      </c>
      <c r="K179" s="271">
        <v>9400005</v>
      </c>
      <c r="L179" s="273">
        <v>9449899</v>
      </c>
      <c r="M179" s="258"/>
    </row>
    <row r="180" spans="1:13" ht="11.1" customHeight="1" x14ac:dyDescent="0.2">
      <c r="A180" s="247"/>
      <c r="B180" s="261"/>
      <c r="C180" s="262"/>
      <c r="D180" s="263"/>
      <c r="E180" s="262"/>
      <c r="F180" s="264"/>
      <c r="G180" s="247"/>
      <c r="H180" s="261" t="s">
        <v>609</v>
      </c>
      <c r="I180" s="262" t="s">
        <v>613</v>
      </c>
      <c r="J180" s="263" t="s">
        <v>681</v>
      </c>
      <c r="K180" s="262">
        <v>14000999</v>
      </c>
      <c r="L180" s="264">
        <v>14109899</v>
      </c>
      <c r="M180" s="258"/>
    </row>
    <row r="181" spans="1:13" ht="11.1" customHeight="1" x14ac:dyDescent="0.2">
      <c r="A181" s="247"/>
      <c r="B181" s="270"/>
      <c r="C181" s="271"/>
      <c r="D181" s="272"/>
      <c r="E181" s="271"/>
      <c r="F181" s="273"/>
      <c r="G181" s="247"/>
      <c r="H181" s="270" t="s">
        <v>609</v>
      </c>
      <c r="I181" s="271" t="s">
        <v>610</v>
      </c>
      <c r="J181" s="272" t="s">
        <v>682</v>
      </c>
      <c r="K181" s="271">
        <v>13500030</v>
      </c>
      <c r="L181" s="273">
        <v>13509652</v>
      </c>
      <c r="M181" s="258"/>
    </row>
    <row r="182" spans="1:13" ht="11.1" customHeight="1" x14ac:dyDescent="0.2">
      <c r="A182" s="247"/>
      <c r="B182" s="261"/>
      <c r="C182" s="262"/>
      <c r="D182" s="263"/>
      <c r="E182" s="262"/>
      <c r="F182" s="264"/>
      <c r="G182" s="247"/>
      <c r="H182" s="261" t="s">
        <v>609</v>
      </c>
      <c r="I182" s="262" t="s">
        <v>615</v>
      </c>
      <c r="J182" s="263" t="s">
        <v>683</v>
      </c>
      <c r="K182" s="262">
        <v>6501001</v>
      </c>
      <c r="L182" s="264">
        <v>6549899</v>
      </c>
      <c r="M182" s="258"/>
    </row>
    <row r="183" spans="1:13" ht="11.1" customHeight="1" x14ac:dyDescent="0.2">
      <c r="A183" s="247"/>
      <c r="B183" s="270"/>
      <c r="C183" s="271"/>
      <c r="D183" s="272"/>
      <c r="E183" s="271"/>
      <c r="F183" s="273"/>
      <c r="G183" s="247"/>
      <c r="H183" s="270" t="s">
        <v>609</v>
      </c>
      <c r="I183" s="271" t="s">
        <v>615</v>
      </c>
      <c r="J183" s="272" t="s">
        <v>684</v>
      </c>
      <c r="K183" s="271">
        <v>9010000</v>
      </c>
      <c r="L183" s="273">
        <v>9299899</v>
      </c>
      <c r="M183" s="258"/>
    </row>
    <row r="184" spans="1:13" ht="11.1" customHeight="1" x14ac:dyDescent="0.2">
      <c r="A184" s="247"/>
      <c r="B184" s="261"/>
      <c r="C184" s="262"/>
      <c r="D184" s="263"/>
      <c r="E184" s="262"/>
      <c r="F184" s="264"/>
      <c r="G184" s="247"/>
      <c r="H184" s="261" t="s">
        <v>609</v>
      </c>
      <c r="I184" s="262" t="s">
        <v>635</v>
      </c>
      <c r="J184" s="263" t="s">
        <v>685</v>
      </c>
      <c r="K184" s="262">
        <v>11010000</v>
      </c>
      <c r="L184" s="264">
        <v>11199899</v>
      </c>
      <c r="M184" s="258"/>
    </row>
    <row r="185" spans="1:13" ht="11.1" customHeight="1" x14ac:dyDescent="0.2">
      <c r="A185" s="247"/>
      <c r="B185" s="270"/>
      <c r="C185" s="271"/>
      <c r="D185" s="272"/>
      <c r="E185" s="271"/>
      <c r="F185" s="273"/>
      <c r="G185" s="247"/>
      <c r="H185" s="270" t="s">
        <v>609</v>
      </c>
      <c r="I185" s="271" t="s">
        <v>615</v>
      </c>
      <c r="J185" s="272" t="s">
        <v>686</v>
      </c>
      <c r="K185" s="271">
        <v>9600004</v>
      </c>
      <c r="L185" s="273">
        <v>9899899</v>
      </c>
      <c r="M185" s="258"/>
    </row>
    <row r="186" spans="1:13" ht="11.1" customHeight="1" x14ac:dyDescent="0.2">
      <c r="A186" s="247"/>
      <c r="B186" s="261"/>
      <c r="C186" s="262"/>
      <c r="D186" s="263"/>
      <c r="E186" s="262"/>
      <c r="F186" s="264"/>
      <c r="G186" s="247"/>
      <c r="H186" s="261" t="s">
        <v>609</v>
      </c>
      <c r="I186" s="262" t="s">
        <v>615</v>
      </c>
      <c r="J186" s="263" t="s">
        <v>687</v>
      </c>
      <c r="K186" s="262">
        <v>9510000</v>
      </c>
      <c r="L186" s="264">
        <v>9599899</v>
      </c>
      <c r="M186" s="258"/>
    </row>
    <row r="187" spans="1:13" ht="11.1" customHeight="1" x14ac:dyDescent="0.2">
      <c r="A187" s="247"/>
      <c r="B187" s="270"/>
      <c r="C187" s="271"/>
      <c r="D187" s="272"/>
      <c r="E187" s="271"/>
      <c r="F187" s="273"/>
      <c r="G187" s="247"/>
      <c r="H187" s="270" t="s">
        <v>609</v>
      </c>
      <c r="I187" s="271" t="s">
        <v>640</v>
      </c>
      <c r="J187" s="272" t="s">
        <v>688</v>
      </c>
      <c r="K187" s="271">
        <v>15010010</v>
      </c>
      <c r="L187" s="273">
        <v>15104970</v>
      </c>
      <c r="M187" s="258"/>
    </row>
    <row r="188" spans="1:13" ht="11.1" customHeight="1" x14ac:dyDescent="0.2">
      <c r="A188" s="247"/>
      <c r="B188" s="261"/>
      <c r="C188" s="262"/>
      <c r="D188" s="263"/>
      <c r="E188" s="262"/>
      <c r="F188" s="264"/>
      <c r="G188" s="247"/>
      <c r="H188" s="261" t="s">
        <v>609</v>
      </c>
      <c r="I188" s="262" t="s">
        <v>670</v>
      </c>
      <c r="J188" s="263" t="s">
        <v>689</v>
      </c>
      <c r="K188" s="262">
        <v>12209000</v>
      </c>
      <c r="L188" s="264">
        <v>12249039</v>
      </c>
      <c r="M188" s="258"/>
    </row>
    <row r="189" spans="1:13" ht="11.1" customHeight="1" x14ac:dyDescent="0.2">
      <c r="A189" s="247"/>
      <c r="B189" s="270"/>
      <c r="C189" s="271"/>
      <c r="D189" s="272"/>
      <c r="E189" s="271"/>
      <c r="F189" s="273"/>
      <c r="G189" s="247"/>
      <c r="H189" s="270" t="s">
        <v>609</v>
      </c>
      <c r="I189" s="271" t="s">
        <v>619</v>
      </c>
      <c r="J189" s="272" t="s">
        <v>690</v>
      </c>
      <c r="K189" s="271">
        <v>18650000</v>
      </c>
      <c r="L189" s="273">
        <v>18650970</v>
      </c>
      <c r="M189" s="258"/>
    </row>
    <row r="190" spans="1:13" ht="11.1" customHeight="1" x14ac:dyDescent="0.2">
      <c r="A190" s="247"/>
      <c r="B190" s="261"/>
      <c r="C190" s="262"/>
      <c r="D190" s="263"/>
      <c r="E190" s="262"/>
      <c r="F190" s="264"/>
      <c r="G190" s="247"/>
      <c r="H190" s="261" t="s">
        <v>609</v>
      </c>
      <c r="I190" s="262" t="s">
        <v>615</v>
      </c>
      <c r="J190" s="263" t="s">
        <v>691</v>
      </c>
      <c r="K190" s="262">
        <v>1001000</v>
      </c>
      <c r="L190" s="264">
        <v>8491030</v>
      </c>
      <c r="M190" s="258"/>
    </row>
    <row r="191" spans="1:13" ht="11.1" customHeight="1" x14ac:dyDescent="0.2">
      <c r="A191" s="247"/>
      <c r="B191" s="277"/>
      <c r="C191" s="278"/>
      <c r="D191" s="279"/>
      <c r="E191" s="278"/>
      <c r="F191" s="280"/>
      <c r="G191" s="247"/>
      <c r="H191" s="281" t="s">
        <v>609</v>
      </c>
      <c r="I191" s="271" t="s">
        <v>635</v>
      </c>
      <c r="J191" s="272" t="s">
        <v>692</v>
      </c>
      <c r="K191" s="271">
        <v>11310000</v>
      </c>
      <c r="L191" s="282">
        <v>11399899</v>
      </c>
      <c r="M191" s="258"/>
    </row>
    <row r="192" spans="1:13" ht="11.1" customHeight="1" x14ac:dyDescent="0.2">
      <c r="A192" s="247"/>
      <c r="B192" s="258"/>
      <c r="C192" s="258"/>
      <c r="D192" s="259"/>
      <c r="E192" s="258"/>
      <c r="F192" s="258"/>
      <c r="G192" s="247"/>
      <c r="H192" s="283" t="s">
        <v>609</v>
      </c>
      <c r="I192" s="262" t="s">
        <v>651</v>
      </c>
      <c r="J192" s="263" t="s">
        <v>693</v>
      </c>
      <c r="K192" s="262">
        <v>18010000</v>
      </c>
      <c r="L192" s="284">
        <v>18109899</v>
      </c>
      <c r="M192" s="258"/>
    </row>
    <row r="193" spans="1:13" ht="11.1" customHeight="1" x14ac:dyDescent="0.2">
      <c r="A193" s="247"/>
      <c r="B193" s="247"/>
      <c r="C193" s="258"/>
      <c r="D193" s="259"/>
      <c r="E193" s="258"/>
      <c r="F193" s="258"/>
      <c r="G193" s="247"/>
      <c r="H193" s="281" t="s">
        <v>609</v>
      </c>
      <c r="I193" s="271" t="s">
        <v>610</v>
      </c>
      <c r="J193" s="272" t="s">
        <v>694</v>
      </c>
      <c r="K193" s="271">
        <v>13170001</v>
      </c>
      <c r="L193" s="282">
        <v>13182899</v>
      </c>
      <c r="M193" s="258"/>
    </row>
    <row r="194" spans="1:13" ht="11.1" customHeight="1" x14ac:dyDescent="0.2">
      <c r="A194" s="247"/>
      <c r="B194" s="258"/>
      <c r="C194" s="259"/>
      <c r="D194" s="258"/>
      <c r="E194" s="258"/>
      <c r="F194" s="247"/>
      <c r="G194" s="247"/>
      <c r="H194" s="283" t="s">
        <v>609</v>
      </c>
      <c r="I194" s="262" t="s">
        <v>615</v>
      </c>
      <c r="J194" s="263" t="s">
        <v>695</v>
      </c>
      <c r="K194" s="262">
        <v>8610000</v>
      </c>
      <c r="L194" s="284">
        <v>8699899</v>
      </c>
      <c r="M194" s="258"/>
    </row>
    <row r="195" spans="1:13" ht="11.1" customHeight="1" x14ac:dyDescent="0.2">
      <c r="A195" s="247"/>
      <c r="B195" s="258"/>
      <c r="C195" s="259"/>
      <c r="D195" s="258"/>
      <c r="E195" s="258"/>
      <c r="F195" s="247"/>
      <c r="G195" s="258"/>
      <c r="H195" s="281" t="s">
        <v>609</v>
      </c>
      <c r="I195" s="271" t="s">
        <v>615</v>
      </c>
      <c r="J195" s="272" t="s">
        <v>696</v>
      </c>
      <c r="K195" s="271">
        <v>6753000</v>
      </c>
      <c r="L195" s="282">
        <v>6799899</v>
      </c>
      <c r="M195" s="259"/>
    </row>
    <row r="196" spans="1:13" ht="11.1" customHeight="1" x14ac:dyDescent="0.2">
      <c r="A196" s="247"/>
      <c r="B196" s="258"/>
      <c r="C196" s="259"/>
      <c r="D196" s="258"/>
      <c r="E196" s="258"/>
      <c r="F196" s="247"/>
      <c r="G196" s="258"/>
      <c r="H196" s="283" t="s">
        <v>609</v>
      </c>
      <c r="I196" s="262" t="s">
        <v>651</v>
      </c>
      <c r="J196" s="263" t="s">
        <v>697</v>
      </c>
      <c r="K196" s="262">
        <v>18270001</v>
      </c>
      <c r="L196" s="284">
        <v>18282899</v>
      </c>
      <c r="M196" s="259"/>
    </row>
    <row r="197" spans="1:13" ht="11.1" customHeight="1" x14ac:dyDescent="0.2">
      <c r="A197" s="247"/>
      <c r="B197" s="258"/>
      <c r="C197" s="259"/>
      <c r="D197" s="258"/>
      <c r="E197" s="258"/>
      <c r="F197" s="247"/>
      <c r="G197" s="258"/>
      <c r="H197" s="281" t="s">
        <v>609</v>
      </c>
      <c r="I197" s="271" t="s">
        <v>613</v>
      </c>
      <c r="J197" s="272" t="s">
        <v>698</v>
      </c>
      <c r="K197" s="271">
        <v>13880000</v>
      </c>
      <c r="L197" s="282">
        <v>13880970</v>
      </c>
      <c r="M197" s="259"/>
    </row>
    <row r="198" spans="1:13" ht="11.1" customHeight="1" x14ac:dyDescent="0.2">
      <c r="A198" s="247"/>
      <c r="B198" s="258"/>
      <c r="C198" s="259"/>
      <c r="D198" s="258"/>
      <c r="E198" s="258"/>
      <c r="F198" s="247"/>
      <c r="G198" s="258"/>
      <c r="H198" s="283" t="s">
        <v>609</v>
      </c>
      <c r="I198" s="262" t="s">
        <v>610</v>
      </c>
      <c r="J198" s="263" t="s">
        <v>699</v>
      </c>
      <c r="K198" s="262">
        <v>13280000</v>
      </c>
      <c r="L198" s="284">
        <v>13289748</v>
      </c>
      <c r="M198" s="259"/>
    </row>
    <row r="199" spans="1:13" ht="11.1" customHeight="1" x14ac:dyDescent="0.2">
      <c r="A199" s="247"/>
      <c r="B199" s="258"/>
      <c r="C199" s="259"/>
      <c r="D199" s="258"/>
      <c r="E199" s="258"/>
      <c r="F199" s="247"/>
      <c r="G199" s="258"/>
      <c r="H199" s="281" t="s">
        <v>609</v>
      </c>
      <c r="I199" s="271" t="s">
        <v>651</v>
      </c>
      <c r="J199" s="272" t="s">
        <v>700</v>
      </c>
      <c r="K199" s="271">
        <v>18110005</v>
      </c>
      <c r="L199" s="282">
        <v>18119900</v>
      </c>
      <c r="M199" s="259"/>
    </row>
    <row r="200" spans="1:13" ht="11.1" customHeight="1" x14ac:dyDescent="0.2">
      <c r="A200" s="247"/>
      <c r="B200" s="258"/>
      <c r="C200" s="259"/>
      <c r="D200" s="258"/>
      <c r="E200" s="258"/>
      <c r="F200" s="247"/>
      <c r="G200" s="258"/>
      <c r="H200" s="285" t="s">
        <v>609</v>
      </c>
      <c r="I200" s="286" t="s">
        <v>640</v>
      </c>
      <c r="J200" s="287" t="s">
        <v>701</v>
      </c>
      <c r="K200" s="286">
        <v>15500001</v>
      </c>
      <c r="L200" s="288">
        <v>15515899</v>
      </c>
      <c r="M200" s="259"/>
    </row>
    <row r="201" spans="1:13" ht="11.1" customHeight="1" x14ac:dyDescent="0.2">
      <c r="A201" s="247"/>
      <c r="B201" s="258"/>
      <c r="C201" s="259"/>
      <c r="D201" s="258"/>
      <c r="E201" s="258"/>
      <c r="F201" s="247"/>
      <c r="G201" s="258"/>
      <c r="I201" s="262"/>
      <c r="J201" s="263"/>
      <c r="K201" s="262"/>
      <c r="L201" s="262"/>
      <c r="M201" s="259"/>
    </row>
    <row r="202" spans="1:13" ht="11.1" customHeight="1" x14ac:dyDescent="0.2">
      <c r="A202" s="247"/>
      <c r="B202" s="258"/>
      <c r="C202" s="259"/>
      <c r="D202" s="258"/>
      <c r="E202" s="258"/>
      <c r="F202" s="247"/>
      <c r="G202" s="258"/>
      <c r="I202" s="262"/>
      <c r="J202" s="263"/>
      <c r="K202" s="262"/>
      <c r="L202" s="262"/>
      <c r="M202" s="259"/>
    </row>
    <row r="203" spans="1:13" ht="11.1" customHeight="1" x14ac:dyDescent="0.2">
      <c r="A203" s="247"/>
      <c r="B203" s="258"/>
      <c r="C203" s="259"/>
      <c r="D203" s="258"/>
      <c r="E203" s="258"/>
      <c r="F203" s="247"/>
      <c r="G203" s="258"/>
      <c r="I203" s="262"/>
      <c r="J203" s="263"/>
      <c r="K203" s="262"/>
      <c r="L203" s="262"/>
      <c r="M203" s="259"/>
    </row>
    <row r="204" spans="1:13" ht="11.1" customHeight="1" x14ac:dyDescent="0.2">
      <c r="A204" s="247"/>
      <c r="B204" s="258"/>
      <c r="C204" s="259"/>
      <c r="D204" s="258"/>
      <c r="E204" s="258"/>
      <c r="F204" s="247"/>
      <c r="G204" s="258"/>
      <c r="I204" s="262"/>
      <c r="J204" s="263"/>
      <c r="K204" s="262"/>
      <c r="L204" s="262"/>
      <c r="M204" s="259"/>
    </row>
    <row r="205" spans="1:13" ht="11.1" customHeight="1" x14ac:dyDescent="0.2">
      <c r="A205" s="247"/>
      <c r="B205" s="258"/>
      <c r="C205" s="259"/>
      <c r="D205" s="258"/>
      <c r="E205" s="258"/>
      <c r="F205" s="247"/>
      <c r="G205" s="258"/>
      <c r="I205" s="262"/>
      <c r="J205" s="263"/>
      <c r="K205" s="262"/>
      <c r="L205" s="262"/>
      <c r="M205" s="259"/>
    </row>
    <row r="206" spans="1:13" ht="11.1" customHeight="1" x14ac:dyDescent="0.2">
      <c r="A206" s="247"/>
      <c r="B206" s="258"/>
      <c r="C206" s="259"/>
      <c r="D206" s="258"/>
      <c r="E206" s="258"/>
      <c r="F206" s="247"/>
      <c r="G206" s="258"/>
      <c r="I206" s="262"/>
      <c r="J206" s="263"/>
      <c r="K206" s="262"/>
      <c r="L206" s="262"/>
      <c r="M206" s="259"/>
    </row>
    <row r="207" spans="1:13" ht="11.1" customHeight="1" x14ac:dyDescent="0.2">
      <c r="A207" s="247"/>
      <c r="B207" s="258"/>
      <c r="C207" s="259"/>
      <c r="D207" s="258"/>
      <c r="E207" s="258"/>
      <c r="F207" s="247"/>
      <c r="G207" s="258"/>
      <c r="I207" s="262"/>
      <c r="J207" s="263"/>
      <c r="K207" s="262"/>
      <c r="L207" s="262"/>
      <c r="M207" s="259"/>
    </row>
    <row r="208" spans="1:13" ht="11.1" customHeight="1" x14ac:dyDescent="0.2">
      <c r="A208" s="247"/>
      <c r="B208" s="258"/>
      <c r="C208" s="259"/>
      <c r="D208" s="258"/>
      <c r="E208" s="258"/>
      <c r="F208" s="247"/>
      <c r="G208" s="258"/>
      <c r="I208" s="262"/>
      <c r="J208" s="263"/>
      <c r="K208" s="262"/>
      <c r="L208" s="262"/>
      <c r="M208" s="259"/>
    </row>
    <row r="209" spans="1:13" ht="11.1" customHeight="1" x14ac:dyDescent="0.2">
      <c r="A209" s="247"/>
      <c r="B209" s="258"/>
      <c r="C209" s="259"/>
      <c r="D209" s="258"/>
      <c r="E209" s="258"/>
      <c r="F209" s="247"/>
      <c r="G209" s="258"/>
      <c r="I209" s="262"/>
      <c r="J209" s="263"/>
      <c r="K209" s="262"/>
      <c r="L209" s="262"/>
      <c r="M209" s="259"/>
    </row>
    <row r="210" spans="1:13" ht="11.1" customHeight="1" x14ac:dyDescent="0.2">
      <c r="A210" s="247"/>
      <c r="B210" s="258"/>
      <c r="C210" s="259"/>
      <c r="D210" s="258"/>
      <c r="E210" s="258"/>
      <c r="F210" s="247"/>
      <c r="G210" s="258"/>
      <c r="I210" s="262"/>
      <c r="J210" s="263"/>
      <c r="K210" s="262"/>
      <c r="L210" s="262"/>
      <c r="M210" s="259"/>
    </row>
    <row r="211" spans="1:13" ht="11.1" customHeight="1" x14ac:dyDescent="0.2">
      <c r="A211" s="247"/>
      <c r="B211" s="258"/>
      <c r="C211" s="259"/>
      <c r="D211" s="258"/>
      <c r="E211" s="258"/>
      <c r="F211" s="247"/>
      <c r="G211" s="258"/>
      <c r="I211" s="262"/>
      <c r="J211" s="263"/>
      <c r="K211" s="262"/>
      <c r="L211" s="262"/>
      <c r="M211" s="259"/>
    </row>
    <row r="212" spans="1:13" ht="11.1" customHeight="1" x14ac:dyDescent="0.2">
      <c r="A212" s="247"/>
      <c r="B212" s="258"/>
      <c r="C212" s="259"/>
      <c r="D212" s="258"/>
      <c r="E212" s="258"/>
      <c r="F212" s="247"/>
      <c r="G212" s="258"/>
      <c r="I212" s="262"/>
      <c r="J212" s="263"/>
      <c r="K212" s="262"/>
      <c r="L212" s="262"/>
      <c r="M212" s="259"/>
    </row>
    <row r="213" spans="1:13" ht="11.1" customHeight="1" x14ac:dyDescent="0.2">
      <c r="A213" s="247"/>
      <c r="B213" s="258"/>
      <c r="C213" s="259"/>
      <c r="D213" s="258"/>
      <c r="E213" s="258"/>
      <c r="F213" s="247"/>
      <c r="G213" s="258"/>
      <c r="I213" s="262"/>
      <c r="J213" s="263"/>
      <c r="K213" s="262"/>
      <c r="L213" s="262"/>
      <c r="M213" s="259"/>
    </row>
    <row r="214" spans="1:13" ht="11.1" customHeight="1" x14ac:dyDescent="0.2">
      <c r="A214" s="247"/>
      <c r="B214" s="258"/>
      <c r="C214" s="259"/>
      <c r="D214" s="258"/>
      <c r="E214" s="258"/>
      <c r="F214" s="247"/>
      <c r="G214" s="258"/>
      <c r="I214" s="262"/>
      <c r="J214" s="263"/>
      <c r="K214" s="262"/>
      <c r="L214" s="262"/>
      <c r="M214" s="259"/>
    </row>
    <row r="215" spans="1:13" ht="11.1" customHeight="1" x14ac:dyDescent="0.2">
      <c r="A215" s="247"/>
      <c r="B215" s="258"/>
      <c r="C215" s="259"/>
      <c r="D215" s="258"/>
      <c r="E215" s="258"/>
      <c r="F215" s="247"/>
      <c r="G215" s="258"/>
      <c r="I215" s="262"/>
      <c r="J215" s="263"/>
      <c r="K215" s="262"/>
      <c r="L215" s="262"/>
      <c r="M215" s="259"/>
    </row>
    <row r="216" spans="1:13" ht="11.1" customHeight="1" x14ac:dyDescent="0.2">
      <c r="A216" s="247"/>
      <c r="B216" s="258"/>
      <c r="C216" s="259"/>
      <c r="D216" s="258"/>
      <c r="E216" s="258"/>
      <c r="F216" s="247"/>
      <c r="G216" s="258"/>
      <c r="I216" s="262"/>
      <c r="J216" s="263"/>
      <c r="K216" s="262"/>
      <c r="L216" s="262"/>
      <c r="M216" s="259"/>
    </row>
    <row r="217" spans="1:13" ht="11.1" customHeight="1" x14ac:dyDescent="0.2">
      <c r="A217" s="247"/>
      <c r="B217" s="258"/>
      <c r="C217" s="259"/>
      <c r="D217" s="258"/>
      <c r="E217" s="258"/>
      <c r="F217" s="247"/>
      <c r="G217" s="258"/>
      <c r="I217" s="262"/>
      <c r="J217" s="263"/>
      <c r="K217" s="262"/>
      <c r="L217" s="262"/>
      <c r="M217" s="259"/>
    </row>
    <row r="218" spans="1:13" ht="11.1" customHeight="1" x14ac:dyDescent="0.2">
      <c r="A218" s="247"/>
      <c r="B218" s="258"/>
      <c r="C218" s="259"/>
      <c r="D218" s="258"/>
      <c r="E218" s="258"/>
      <c r="F218" s="247"/>
      <c r="G218" s="258"/>
      <c r="I218" s="262"/>
      <c r="J218" s="263"/>
      <c r="K218" s="262"/>
      <c r="L218" s="262"/>
      <c r="M218" s="259"/>
    </row>
    <row r="219" spans="1:13" ht="11.1" customHeight="1" x14ac:dyDescent="0.2">
      <c r="A219" s="247"/>
      <c r="B219" s="258"/>
      <c r="C219" s="259"/>
      <c r="D219" s="258"/>
      <c r="E219" s="258"/>
      <c r="F219" s="247"/>
      <c r="G219" s="258"/>
      <c r="I219" s="262"/>
      <c r="J219" s="263"/>
      <c r="K219" s="262"/>
      <c r="L219" s="262"/>
      <c r="M219" s="259"/>
    </row>
    <row r="220" spans="1:13" ht="11.1" customHeight="1" x14ac:dyDescent="0.2">
      <c r="A220" s="247"/>
      <c r="B220" s="258"/>
      <c r="C220" s="259"/>
      <c r="D220" s="258"/>
      <c r="E220" s="258"/>
      <c r="F220" s="247"/>
      <c r="G220" s="258"/>
      <c r="I220" s="262"/>
      <c r="J220" s="263"/>
      <c r="K220" s="262"/>
      <c r="L220" s="262"/>
      <c r="M220" s="259"/>
    </row>
    <row r="221" spans="1:13" ht="11.1" customHeight="1" x14ac:dyDescent="0.2">
      <c r="A221" s="247"/>
      <c r="B221" s="258"/>
      <c r="C221" s="259"/>
      <c r="D221" s="258"/>
      <c r="E221" s="258"/>
      <c r="F221" s="247"/>
      <c r="G221" s="258"/>
      <c r="I221" s="262"/>
      <c r="J221" s="263"/>
      <c r="K221" s="262"/>
      <c r="L221" s="262"/>
      <c r="M221" s="259"/>
    </row>
    <row r="222" spans="1:13" ht="11.1" customHeight="1" x14ac:dyDescent="0.2">
      <c r="A222" s="247"/>
      <c r="B222" s="258"/>
      <c r="C222" s="259"/>
      <c r="D222" s="258"/>
      <c r="E222" s="258"/>
      <c r="F222" s="247"/>
      <c r="G222" s="258"/>
      <c r="I222" s="262"/>
      <c r="J222" s="263"/>
      <c r="K222" s="262"/>
      <c r="L222" s="262"/>
      <c r="M222" s="259"/>
    </row>
    <row r="223" spans="1:13" ht="11.1" customHeight="1" x14ac:dyDescent="0.2">
      <c r="A223" s="247"/>
      <c r="B223" s="258"/>
      <c r="C223" s="259"/>
      <c r="D223" s="258"/>
      <c r="E223" s="258"/>
      <c r="F223" s="247"/>
      <c r="G223" s="258"/>
      <c r="I223" s="262"/>
      <c r="J223" s="263"/>
      <c r="K223" s="262"/>
      <c r="L223" s="262"/>
      <c r="M223" s="259"/>
    </row>
    <row r="224" spans="1:13" ht="11.1" customHeight="1" x14ac:dyDescent="0.2">
      <c r="A224" s="247"/>
      <c r="B224" s="258"/>
      <c r="C224" s="259"/>
      <c r="D224" s="258"/>
      <c r="E224" s="258"/>
      <c r="F224" s="247"/>
      <c r="G224" s="258"/>
      <c r="I224" s="262"/>
      <c r="J224" s="263"/>
      <c r="K224" s="262"/>
      <c r="L224" s="262"/>
      <c r="M224" s="259"/>
    </row>
    <row r="225" spans="1:13" ht="11.1" customHeight="1" x14ac:dyDescent="0.2">
      <c r="A225" s="247"/>
      <c r="B225" s="258"/>
      <c r="C225" s="259"/>
      <c r="D225" s="258"/>
      <c r="E225" s="258"/>
      <c r="F225" s="247"/>
      <c r="G225" s="258"/>
      <c r="I225" s="262"/>
      <c r="J225" s="263"/>
      <c r="K225" s="262"/>
      <c r="L225" s="262"/>
      <c r="M225" s="259"/>
    </row>
    <row r="226" spans="1:13" ht="11.1" customHeight="1" x14ac:dyDescent="0.2">
      <c r="A226" s="247"/>
      <c r="B226" s="258"/>
      <c r="C226" s="259"/>
      <c r="D226" s="258"/>
      <c r="E226" s="258"/>
      <c r="F226" s="247"/>
      <c r="G226" s="258"/>
      <c r="I226" s="262"/>
      <c r="J226" s="263"/>
      <c r="K226" s="262"/>
      <c r="L226" s="262"/>
      <c r="M226" s="259"/>
    </row>
    <row r="227" spans="1:13" ht="11.1" customHeight="1" x14ac:dyDescent="0.2">
      <c r="A227" s="247"/>
      <c r="B227" s="258"/>
      <c r="C227" s="259"/>
      <c r="D227" s="258"/>
      <c r="E227" s="258"/>
      <c r="F227" s="247"/>
      <c r="G227" s="258"/>
      <c r="I227" s="262"/>
      <c r="J227" s="263"/>
      <c r="K227" s="262"/>
      <c r="L227" s="262"/>
      <c r="M227" s="259"/>
    </row>
    <row r="228" spans="1:13" ht="11.1" customHeight="1" x14ac:dyDescent="0.2">
      <c r="A228" s="247"/>
      <c r="B228" s="258"/>
      <c r="C228" s="259"/>
      <c r="D228" s="258"/>
      <c r="E228" s="258"/>
      <c r="F228" s="247"/>
      <c r="G228" s="258"/>
      <c r="I228" s="262"/>
      <c r="J228" s="263"/>
      <c r="K228" s="262"/>
      <c r="L228" s="262"/>
      <c r="M228" s="259"/>
    </row>
    <row r="229" spans="1:13" ht="11.1" customHeight="1" x14ac:dyDescent="0.2">
      <c r="A229" s="247"/>
      <c r="B229" s="258"/>
      <c r="C229" s="259"/>
      <c r="D229" s="258"/>
      <c r="E229" s="258"/>
      <c r="F229" s="247"/>
      <c r="G229" s="258"/>
      <c r="I229" s="262"/>
      <c r="J229" s="263"/>
      <c r="K229" s="262"/>
      <c r="L229" s="262"/>
      <c r="M229" s="259"/>
    </row>
    <row r="230" spans="1:13" ht="11.1" customHeight="1" x14ac:dyDescent="0.2">
      <c r="A230" s="247"/>
      <c r="B230" s="258"/>
      <c r="C230" s="259"/>
      <c r="D230" s="258"/>
      <c r="E230" s="258"/>
      <c r="F230" s="247"/>
      <c r="G230" s="258"/>
      <c r="I230" s="262"/>
      <c r="J230" s="263"/>
      <c r="K230" s="262"/>
      <c r="L230" s="262"/>
      <c r="M230" s="259"/>
    </row>
    <row r="231" spans="1:13" ht="11.1" customHeight="1" x14ac:dyDescent="0.2">
      <c r="A231" s="247"/>
      <c r="B231" s="258"/>
      <c r="C231" s="259"/>
      <c r="D231" s="258"/>
      <c r="E231" s="258"/>
      <c r="F231" s="247"/>
      <c r="G231" s="258"/>
      <c r="I231" s="262"/>
      <c r="J231" s="263"/>
      <c r="K231" s="262"/>
      <c r="L231" s="262"/>
      <c r="M231" s="259"/>
    </row>
    <row r="232" spans="1:13" ht="11.1" customHeight="1" x14ac:dyDescent="0.2">
      <c r="A232" s="247"/>
      <c r="B232" s="258"/>
      <c r="C232" s="259"/>
      <c r="D232" s="258"/>
      <c r="E232" s="258"/>
      <c r="F232" s="247"/>
      <c r="G232" s="258"/>
      <c r="I232" s="262"/>
      <c r="J232" s="263"/>
      <c r="K232" s="262"/>
      <c r="L232" s="262"/>
      <c r="M232" s="259"/>
    </row>
    <row r="233" spans="1:13" ht="11.1" customHeight="1" x14ac:dyDescent="0.2">
      <c r="A233" s="247"/>
      <c r="B233" s="258"/>
      <c r="C233" s="259"/>
      <c r="D233" s="258"/>
      <c r="E233" s="258"/>
      <c r="F233" s="247"/>
      <c r="G233" s="258"/>
      <c r="I233" s="262"/>
      <c r="J233" s="263"/>
      <c r="K233" s="262"/>
      <c r="L233" s="262"/>
      <c r="M233" s="259"/>
    </row>
    <row r="234" spans="1:13" ht="11.1" customHeight="1" x14ac:dyDescent="0.2">
      <c r="A234" s="247"/>
      <c r="B234" s="258"/>
      <c r="C234" s="259"/>
      <c r="D234" s="258"/>
      <c r="E234" s="258"/>
      <c r="F234" s="247"/>
      <c r="G234" s="258"/>
      <c r="I234" s="262"/>
      <c r="J234" s="263"/>
      <c r="K234" s="262"/>
      <c r="L234" s="262"/>
      <c r="M234" s="259"/>
    </row>
    <row r="235" spans="1:13" ht="11.1" customHeight="1" x14ac:dyDescent="0.2">
      <c r="A235" s="247"/>
      <c r="B235" s="258"/>
      <c r="C235" s="259"/>
      <c r="D235" s="258"/>
      <c r="E235" s="258"/>
      <c r="F235" s="247"/>
      <c r="G235" s="258"/>
      <c r="I235" s="262"/>
      <c r="J235" s="263"/>
      <c r="K235" s="262"/>
      <c r="L235" s="262"/>
      <c r="M235" s="259"/>
    </row>
    <row r="236" spans="1:13" ht="11.1" customHeight="1" x14ac:dyDescent="0.2">
      <c r="A236" s="247"/>
      <c r="B236" s="258"/>
      <c r="C236" s="259"/>
      <c r="D236" s="258"/>
      <c r="E236" s="258"/>
      <c r="F236" s="247"/>
      <c r="G236" s="258"/>
      <c r="I236" s="262"/>
      <c r="J236" s="263"/>
      <c r="K236" s="262"/>
      <c r="L236" s="262"/>
      <c r="M236" s="259"/>
    </row>
    <row r="237" spans="1:13" ht="11.1" customHeight="1" x14ac:dyDescent="0.2">
      <c r="A237" s="247"/>
      <c r="B237" s="258"/>
      <c r="C237" s="259"/>
      <c r="D237" s="258"/>
      <c r="E237" s="258"/>
      <c r="F237" s="247"/>
      <c r="G237" s="258"/>
      <c r="I237" s="262"/>
      <c r="J237" s="263"/>
      <c r="K237" s="262"/>
      <c r="L237" s="262"/>
      <c r="M237" s="259"/>
    </row>
    <row r="238" spans="1:13" ht="11.1" customHeight="1" x14ac:dyDescent="0.2">
      <c r="A238" s="247"/>
      <c r="B238" s="258"/>
      <c r="C238" s="259"/>
      <c r="D238" s="258"/>
      <c r="E238" s="258"/>
      <c r="F238" s="247"/>
      <c r="G238" s="258"/>
      <c r="I238" s="262"/>
      <c r="J238" s="263"/>
      <c r="K238" s="262"/>
      <c r="L238" s="262"/>
      <c r="M238" s="259"/>
    </row>
    <row r="239" spans="1:13" ht="11.1" customHeight="1" x14ac:dyDescent="0.2">
      <c r="A239" s="247"/>
      <c r="B239" s="258"/>
      <c r="C239" s="259"/>
      <c r="D239" s="258"/>
      <c r="E239" s="258"/>
      <c r="F239" s="247"/>
      <c r="G239" s="258"/>
      <c r="I239" s="262"/>
      <c r="J239" s="263"/>
      <c r="K239" s="262"/>
      <c r="L239" s="262"/>
      <c r="M239" s="259"/>
    </row>
    <row r="240" spans="1:13" ht="11.1" customHeight="1" x14ac:dyDescent="0.2">
      <c r="A240" s="247"/>
      <c r="B240" s="258"/>
      <c r="C240" s="259"/>
      <c r="D240" s="258"/>
      <c r="E240" s="258"/>
      <c r="F240" s="247"/>
      <c r="G240" s="258"/>
      <c r="I240" s="262"/>
      <c r="J240" s="263"/>
      <c r="K240" s="262"/>
      <c r="L240" s="262"/>
      <c r="M240" s="259"/>
    </row>
    <row r="241" spans="1:13" ht="11.1" customHeight="1" x14ac:dyDescent="0.2">
      <c r="A241" s="247"/>
      <c r="B241" s="258"/>
      <c r="C241" s="259"/>
      <c r="D241" s="258"/>
      <c r="E241" s="258"/>
      <c r="F241" s="247"/>
      <c r="G241" s="258"/>
      <c r="I241" s="262"/>
      <c r="J241" s="263"/>
      <c r="K241" s="262"/>
      <c r="L241" s="262"/>
      <c r="M241" s="259"/>
    </row>
    <row r="242" spans="1:13" ht="11.1" customHeight="1" x14ac:dyDescent="0.2">
      <c r="A242" s="247"/>
      <c r="B242" s="258"/>
      <c r="C242" s="259"/>
      <c r="D242" s="258"/>
      <c r="E242" s="258"/>
      <c r="F242" s="247"/>
      <c r="G242" s="258"/>
      <c r="I242" s="262"/>
      <c r="J242" s="263"/>
      <c r="K242" s="262"/>
      <c r="L242" s="262"/>
      <c r="M242" s="259"/>
    </row>
    <row r="243" spans="1:13" ht="11.1" customHeight="1" x14ac:dyDescent="0.2">
      <c r="A243" s="247"/>
      <c r="B243" s="258"/>
      <c r="C243" s="259"/>
      <c r="D243" s="258"/>
      <c r="E243" s="258"/>
      <c r="F243" s="247"/>
      <c r="G243" s="258"/>
      <c r="I243" s="262"/>
      <c r="J243" s="263"/>
      <c r="K243" s="262"/>
      <c r="L243" s="262"/>
      <c r="M243" s="259"/>
    </row>
    <row r="244" spans="1:13" ht="11.1" customHeight="1" x14ac:dyDescent="0.2">
      <c r="A244" s="247"/>
      <c r="B244" s="258"/>
      <c r="C244" s="259"/>
      <c r="D244" s="258"/>
      <c r="E244" s="258"/>
      <c r="F244" s="247"/>
      <c r="G244" s="258"/>
      <c r="I244" s="262"/>
      <c r="J244" s="263"/>
      <c r="K244" s="262"/>
      <c r="L244" s="262"/>
      <c r="M244" s="259"/>
    </row>
    <row r="245" spans="1:13" ht="11.1" customHeight="1" x14ac:dyDescent="0.2">
      <c r="A245" s="247"/>
      <c r="B245" s="258"/>
      <c r="C245" s="259"/>
      <c r="D245" s="258"/>
      <c r="E245" s="258"/>
      <c r="F245" s="247"/>
      <c r="G245" s="258"/>
      <c r="I245" s="262"/>
      <c r="J245" s="263"/>
      <c r="K245" s="262"/>
      <c r="L245" s="262"/>
      <c r="M245" s="259"/>
    </row>
    <row r="246" spans="1:13" ht="11.1" customHeight="1" x14ac:dyDescent="0.2">
      <c r="A246" s="247"/>
      <c r="B246" s="258"/>
      <c r="C246" s="259"/>
      <c r="D246" s="258"/>
      <c r="E246" s="258"/>
      <c r="F246" s="247"/>
      <c r="G246" s="258"/>
      <c r="I246" s="262"/>
      <c r="J246" s="263"/>
      <c r="K246" s="262"/>
      <c r="L246" s="262"/>
      <c r="M246" s="259"/>
    </row>
    <row r="247" spans="1:13" ht="11.1" customHeight="1" x14ac:dyDescent="0.2">
      <c r="A247" s="247"/>
      <c r="B247" s="258"/>
      <c r="C247" s="259"/>
      <c r="D247" s="258"/>
      <c r="E247" s="258"/>
      <c r="F247" s="247"/>
      <c r="G247" s="258"/>
      <c r="I247" s="262"/>
      <c r="J247" s="263"/>
      <c r="K247" s="262"/>
      <c r="L247" s="262"/>
      <c r="M247" s="259"/>
    </row>
    <row r="248" spans="1:13" ht="11.1" customHeight="1" x14ac:dyDescent="0.2">
      <c r="A248" s="247"/>
      <c r="B248" s="258"/>
      <c r="C248" s="259"/>
      <c r="D248" s="258"/>
      <c r="E248" s="258"/>
      <c r="F248" s="247"/>
      <c r="G248" s="258"/>
      <c r="I248" s="262"/>
      <c r="J248" s="263"/>
      <c r="K248" s="262"/>
      <c r="L248" s="262"/>
      <c r="M248" s="259"/>
    </row>
    <row r="249" spans="1:13" ht="11.1" customHeight="1" x14ac:dyDescent="0.2">
      <c r="A249" s="247"/>
      <c r="B249" s="258"/>
      <c r="C249" s="259"/>
      <c r="D249" s="258"/>
      <c r="E249" s="258"/>
      <c r="F249" s="247"/>
      <c r="G249" s="258"/>
      <c r="I249" s="262"/>
      <c r="J249" s="263"/>
      <c r="K249" s="262"/>
      <c r="L249" s="262"/>
      <c r="M249" s="259"/>
    </row>
    <row r="250" spans="1:13" ht="11.1" customHeight="1" x14ac:dyDescent="0.2">
      <c r="A250" s="247"/>
      <c r="B250" s="258"/>
      <c r="C250" s="259"/>
      <c r="D250" s="258"/>
      <c r="E250" s="258"/>
      <c r="F250" s="247"/>
      <c r="G250" s="258"/>
      <c r="I250" s="262"/>
      <c r="J250" s="263"/>
      <c r="K250" s="262"/>
      <c r="L250" s="262"/>
      <c r="M250" s="259"/>
    </row>
    <row r="251" spans="1:13" ht="11.1" customHeight="1" x14ac:dyDescent="0.2">
      <c r="A251" s="247"/>
      <c r="B251" s="258"/>
      <c r="C251" s="259"/>
      <c r="D251" s="258"/>
      <c r="E251" s="258"/>
      <c r="F251" s="247"/>
      <c r="G251" s="258"/>
      <c r="I251" s="262"/>
      <c r="J251" s="263"/>
      <c r="K251" s="262"/>
      <c r="L251" s="262"/>
      <c r="M251" s="259"/>
    </row>
    <row r="252" spans="1:13" ht="11.1" customHeight="1" x14ac:dyDescent="0.2">
      <c r="A252" s="247"/>
      <c r="B252" s="258"/>
      <c r="C252" s="259"/>
      <c r="D252" s="258"/>
      <c r="E252" s="258"/>
      <c r="F252" s="247"/>
      <c r="G252" s="258"/>
      <c r="I252" s="262"/>
      <c r="J252" s="263"/>
      <c r="K252" s="262"/>
      <c r="L252" s="262"/>
      <c r="M252" s="259"/>
    </row>
    <row r="253" spans="1:13" ht="11.1" customHeight="1" x14ac:dyDescent="0.2">
      <c r="A253" s="247"/>
      <c r="B253" s="258"/>
      <c r="C253" s="259"/>
      <c r="D253" s="258"/>
      <c r="E253" s="258"/>
      <c r="F253" s="247"/>
      <c r="G253" s="258"/>
      <c r="I253" s="262"/>
      <c r="J253" s="263"/>
      <c r="K253" s="262"/>
      <c r="L253" s="262"/>
      <c r="M253" s="259"/>
    </row>
    <row r="254" spans="1:13" ht="11.1" customHeight="1" x14ac:dyDescent="0.2">
      <c r="A254" s="247"/>
      <c r="B254" s="258"/>
      <c r="C254" s="259"/>
      <c r="D254" s="258"/>
      <c r="E254" s="258"/>
      <c r="F254" s="247"/>
      <c r="G254" s="258"/>
      <c r="I254" s="262"/>
      <c r="J254" s="263"/>
      <c r="K254" s="262"/>
      <c r="L254" s="262"/>
      <c r="M254" s="259"/>
    </row>
    <row r="255" spans="1:13" ht="11.1" customHeight="1" x14ac:dyDescent="0.2">
      <c r="A255" s="247"/>
      <c r="B255" s="258"/>
      <c r="C255" s="259"/>
      <c r="D255" s="258"/>
      <c r="E255" s="258"/>
      <c r="F255" s="247"/>
      <c r="G255" s="258"/>
      <c r="I255" s="262"/>
      <c r="J255" s="263"/>
      <c r="K255" s="262"/>
      <c r="L255" s="262"/>
      <c r="M255" s="259"/>
    </row>
    <row r="256" spans="1:13" ht="11.1" customHeight="1" x14ac:dyDescent="0.2">
      <c r="A256" s="247"/>
      <c r="B256" s="258"/>
      <c r="C256" s="259"/>
      <c r="D256" s="258"/>
      <c r="E256" s="258"/>
      <c r="F256" s="247"/>
      <c r="G256" s="258"/>
      <c r="I256" s="262"/>
      <c r="J256" s="263"/>
      <c r="K256" s="262"/>
      <c r="L256" s="262"/>
      <c r="M256" s="259"/>
    </row>
    <row r="257" spans="1:13" ht="11.1" customHeight="1" x14ac:dyDescent="0.2">
      <c r="A257" s="247"/>
      <c r="B257" s="258"/>
      <c r="C257" s="259"/>
      <c r="D257" s="258"/>
      <c r="E257" s="258"/>
      <c r="F257" s="247"/>
      <c r="G257" s="258"/>
      <c r="I257" s="262"/>
      <c r="J257" s="263"/>
      <c r="K257" s="262"/>
      <c r="L257" s="262"/>
      <c r="M257" s="259"/>
    </row>
    <row r="258" spans="1:13" ht="11.1" customHeight="1" x14ac:dyDescent="0.2">
      <c r="A258" s="247"/>
      <c r="B258" s="258"/>
      <c r="C258" s="259"/>
      <c r="D258" s="258"/>
      <c r="E258" s="258"/>
      <c r="F258" s="247"/>
      <c r="G258" s="258"/>
      <c r="I258" s="262"/>
      <c r="J258" s="263"/>
      <c r="K258" s="262"/>
      <c r="L258" s="262"/>
      <c r="M258" s="259"/>
    </row>
    <row r="259" spans="1:13" ht="11.1" customHeight="1" x14ac:dyDescent="0.2">
      <c r="A259" s="247"/>
      <c r="B259" s="258"/>
      <c r="C259" s="259"/>
      <c r="D259" s="258"/>
      <c r="E259" s="258"/>
      <c r="F259" s="247"/>
      <c r="G259" s="258"/>
      <c r="I259" s="262"/>
      <c r="J259" s="263"/>
      <c r="K259" s="262"/>
      <c r="L259" s="262"/>
      <c r="M259" s="259"/>
    </row>
    <row r="260" spans="1:13" ht="11.1" customHeight="1" x14ac:dyDescent="0.2">
      <c r="A260" s="247"/>
      <c r="B260" s="258"/>
      <c r="C260" s="259"/>
      <c r="D260" s="258"/>
      <c r="E260" s="258"/>
      <c r="F260" s="247"/>
      <c r="G260" s="258"/>
      <c r="I260" s="262"/>
      <c r="J260" s="263"/>
      <c r="K260" s="262"/>
      <c r="L260" s="262"/>
      <c r="M260" s="259"/>
    </row>
    <row r="261" spans="1:13" ht="11.1" customHeight="1" x14ac:dyDescent="0.2">
      <c r="A261" s="247"/>
      <c r="B261" s="258"/>
      <c r="C261" s="259"/>
      <c r="D261" s="258"/>
      <c r="E261" s="258"/>
      <c r="F261" s="247"/>
      <c r="G261" s="258"/>
      <c r="I261" s="262"/>
      <c r="J261" s="263"/>
      <c r="K261" s="262"/>
      <c r="L261" s="262"/>
      <c r="M261" s="259"/>
    </row>
    <row r="262" spans="1:13" ht="11.1" customHeight="1" x14ac:dyDescent="0.2">
      <c r="A262" s="247"/>
      <c r="B262" s="258"/>
      <c r="C262" s="259"/>
      <c r="D262" s="258"/>
      <c r="E262" s="258"/>
      <c r="F262" s="247"/>
      <c r="G262" s="258"/>
      <c r="I262" s="262"/>
      <c r="J262" s="263"/>
      <c r="K262" s="262"/>
      <c r="L262" s="262"/>
      <c r="M262" s="259"/>
    </row>
    <row r="263" spans="1:13" ht="11.1" customHeight="1" x14ac:dyDescent="0.2">
      <c r="A263" s="247"/>
      <c r="B263" s="258"/>
      <c r="C263" s="259"/>
      <c r="D263" s="258"/>
      <c r="E263" s="258"/>
      <c r="F263" s="247"/>
      <c r="G263" s="258"/>
      <c r="I263" s="262"/>
      <c r="J263" s="263"/>
      <c r="K263" s="262"/>
      <c r="L263" s="262"/>
      <c r="M263" s="259"/>
    </row>
    <row r="264" spans="1:13" ht="11.1" customHeight="1" x14ac:dyDescent="0.2">
      <c r="A264" s="247"/>
      <c r="B264" s="258"/>
      <c r="C264" s="259"/>
      <c r="D264" s="258"/>
      <c r="E264" s="258"/>
      <c r="F264" s="247"/>
      <c r="G264" s="258"/>
      <c r="I264" s="262"/>
      <c r="J264" s="263"/>
      <c r="K264" s="262"/>
      <c r="L264" s="262"/>
      <c r="M264" s="259"/>
    </row>
    <row r="265" spans="1:13" ht="11.1" customHeight="1" x14ac:dyDescent="0.2">
      <c r="A265" s="247"/>
      <c r="B265" s="258"/>
      <c r="C265" s="259"/>
      <c r="D265" s="258"/>
      <c r="E265" s="258"/>
      <c r="F265" s="247"/>
      <c r="G265" s="258"/>
      <c r="I265" s="262"/>
      <c r="J265" s="263"/>
      <c r="K265" s="262"/>
      <c r="L265" s="262"/>
      <c r="M265" s="259"/>
    </row>
    <row r="266" spans="1:13" ht="11.1" customHeight="1" x14ac:dyDescent="0.2">
      <c r="A266" s="247"/>
      <c r="B266" s="258"/>
      <c r="C266" s="259"/>
      <c r="D266" s="258"/>
      <c r="E266" s="258"/>
      <c r="F266" s="247"/>
      <c r="G266" s="258"/>
      <c r="I266" s="262"/>
      <c r="J266" s="263"/>
      <c r="K266" s="262"/>
      <c r="L266" s="262"/>
      <c r="M266" s="259"/>
    </row>
    <row r="267" spans="1:13" ht="11.1" customHeight="1" x14ac:dyDescent="0.2">
      <c r="A267" s="247"/>
      <c r="B267" s="258"/>
      <c r="C267" s="259"/>
      <c r="D267" s="258"/>
      <c r="E267" s="258"/>
      <c r="F267" s="247"/>
      <c r="G267" s="258"/>
      <c r="I267" s="262"/>
      <c r="J267" s="263"/>
      <c r="K267" s="262"/>
      <c r="L267" s="262"/>
      <c r="M267" s="259"/>
    </row>
    <row r="268" spans="1:13" ht="11.1" customHeight="1" x14ac:dyDescent="0.2">
      <c r="A268" s="247"/>
      <c r="B268" s="258"/>
      <c r="C268" s="259"/>
      <c r="D268" s="258"/>
      <c r="E268" s="258"/>
      <c r="F268" s="247"/>
      <c r="G268" s="258"/>
      <c r="I268" s="262"/>
      <c r="J268" s="263"/>
      <c r="K268" s="262"/>
      <c r="L268" s="262"/>
      <c r="M268" s="259"/>
    </row>
    <row r="269" spans="1:13" ht="11.1" customHeight="1" x14ac:dyDescent="0.2">
      <c r="A269" s="247"/>
      <c r="B269" s="258"/>
      <c r="C269" s="259"/>
      <c r="D269" s="258"/>
      <c r="E269" s="258"/>
      <c r="F269" s="247"/>
      <c r="G269" s="258"/>
      <c r="I269" s="262"/>
      <c r="J269" s="263"/>
      <c r="K269" s="262"/>
      <c r="L269" s="262"/>
      <c r="M269" s="259"/>
    </row>
    <row r="270" spans="1:13" ht="11.1" customHeight="1" x14ac:dyDescent="0.2">
      <c r="A270" s="247"/>
      <c r="B270" s="258"/>
      <c r="C270" s="259"/>
      <c r="D270" s="258"/>
      <c r="E270" s="258"/>
      <c r="F270" s="247"/>
      <c r="G270" s="258"/>
      <c r="I270" s="262"/>
      <c r="J270" s="263"/>
      <c r="K270" s="262"/>
      <c r="L270" s="262"/>
      <c r="M270" s="259"/>
    </row>
    <row r="271" spans="1:13" ht="11.1" customHeight="1" x14ac:dyDescent="0.2">
      <c r="A271" s="247"/>
      <c r="B271" s="258"/>
      <c r="C271" s="259"/>
      <c r="D271" s="258"/>
      <c r="E271" s="258"/>
      <c r="F271" s="247"/>
      <c r="G271" s="258"/>
      <c r="I271" s="262"/>
      <c r="J271" s="263"/>
      <c r="K271" s="262"/>
      <c r="L271" s="262"/>
      <c r="M271" s="259"/>
    </row>
    <row r="272" spans="1:13" ht="11.1" customHeight="1" x14ac:dyDescent="0.2">
      <c r="A272" s="247"/>
      <c r="B272" s="258"/>
      <c r="C272" s="259"/>
      <c r="D272" s="258"/>
      <c r="E272" s="258"/>
      <c r="F272" s="247"/>
      <c r="G272" s="258"/>
      <c r="I272" s="262"/>
      <c r="J272" s="263"/>
      <c r="K272" s="262"/>
      <c r="L272" s="262"/>
      <c r="M272" s="259"/>
    </row>
    <row r="273" spans="1:13" ht="11.1" customHeight="1" x14ac:dyDescent="0.2">
      <c r="A273" s="247"/>
      <c r="B273" s="258"/>
      <c r="C273" s="259"/>
      <c r="D273" s="258"/>
      <c r="E273" s="258"/>
      <c r="F273" s="247"/>
      <c r="G273" s="258"/>
      <c r="I273" s="262"/>
      <c r="J273" s="263"/>
      <c r="K273" s="262"/>
      <c r="L273" s="262"/>
      <c r="M273" s="259"/>
    </row>
    <row r="274" spans="1:13" ht="11.1" customHeight="1" x14ac:dyDescent="0.2">
      <c r="A274" s="247"/>
      <c r="B274" s="258"/>
      <c r="C274" s="259"/>
      <c r="D274" s="258"/>
      <c r="E274" s="258"/>
      <c r="F274" s="247"/>
      <c r="G274" s="258"/>
      <c r="I274" s="262"/>
      <c r="J274" s="263"/>
      <c r="K274" s="262"/>
      <c r="L274" s="262"/>
      <c r="M274" s="259"/>
    </row>
    <row r="275" spans="1:13" ht="11.1" customHeight="1" x14ac:dyDescent="0.2">
      <c r="A275" s="247"/>
      <c r="B275" s="258"/>
      <c r="C275" s="259"/>
      <c r="D275" s="258"/>
      <c r="E275" s="258"/>
      <c r="F275" s="247"/>
      <c r="G275" s="258"/>
      <c r="I275" s="262"/>
      <c r="J275" s="263"/>
      <c r="K275" s="262"/>
      <c r="L275" s="262"/>
      <c r="M275" s="259"/>
    </row>
    <row r="276" spans="1:13" ht="11.1" customHeight="1" x14ac:dyDescent="0.2">
      <c r="A276" s="247"/>
      <c r="B276" s="258"/>
      <c r="C276" s="259"/>
      <c r="D276" s="258"/>
      <c r="E276" s="258"/>
      <c r="F276" s="247"/>
      <c r="G276" s="258"/>
      <c r="I276" s="262"/>
      <c r="J276" s="263"/>
      <c r="K276" s="262"/>
      <c r="L276" s="262"/>
      <c r="M276" s="259"/>
    </row>
    <row r="277" spans="1:13" ht="11.1" customHeight="1" x14ac:dyDescent="0.2">
      <c r="A277" s="247"/>
      <c r="B277" s="258"/>
      <c r="C277" s="259"/>
      <c r="D277" s="258"/>
      <c r="E277" s="258"/>
      <c r="F277" s="247"/>
      <c r="G277" s="258"/>
      <c r="I277" s="262"/>
      <c r="J277" s="263"/>
      <c r="K277" s="262"/>
      <c r="L277" s="262"/>
      <c r="M277" s="259"/>
    </row>
    <row r="278" spans="1:13" ht="11.1" customHeight="1" x14ac:dyDescent="0.2">
      <c r="A278" s="247"/>
      <c r="B278" s="258"/>
      <c r="C278" s="259"/>
      <c r="D278" s="258"/>
      <c r="E278" s="258"/>
      <c r="F278" s="247"/>
      <c r="G278" s="258"/>
      <c r="I278" s="262"/>
      <c r="J278" s="263"/>
      <c r="K278" s="262"/>
      <c r="L278" s="262"/>
      <c r="M278" s="259"/>
    </row>
    <row r="279" spans="1:13" ht="11.1" customHeight="1" x14ac:dyDescent="0.2">
      <c r="A279" s="247"/>
      <c r="B279" s="258"/>
      <c r="C279" s="259"/>
      <c r="D279" s="258"/>
      <c r="E279" s="258"/>
      <c r="F279" s="247"/>
      <c r="G279" s="258"/>
      <c r="I279" s="262"/>
      <c r="J279" s="263"/>
      <c r="K279" s="262"/>
      <c r="L279" s="262"/>
      <c r="M279" s="259"/>
    </row>
    <row r="280" spans="1:13" ht="11.1" customHeight="1" x14ac:dyDescent="0.2">
      <c r="A280" s="247"/>
      <c r="B280" s="258"/>
      <c r="C280" s="259"/>
      <c r="D280" s="258"/>
      <c r="E280" s="258"/>
      <c r="F280" s="247"/>
      <c r="G280" s="258"/>
      <c r="I280" s="262"/>
      <c r="J280" s="263"/>
      <c r="K280" s="262"/>
      <c r="L280" s="262"/>
      <c r="M280" s="259"/>
    </row>
    <row r="281" spans="1:13" ht="11.1" customHeight="1" x14ac:dyDescent="0.2">
      <c r="A281" s="247"/>
      <c r="B281" s="258"/>
      <c r="C281" s="259"/>
      <c r="D281" s="258"/>
      <c r="E281" s="258"/>
      <c r="F281" s="247"/>
      <c r="G281" s="258"/>
      <c r="I281" s="262"/>
      <c r="J281" s="263"/>
      <c r="K281" s="262"/>
      <c r="L281" s="262"/>
      <c r="M281" s="259"/>
    </row>
    <row r="282" spans="1:13" ht="11.1" customHeight="1" x14ac:dyDescent="0.2">
      <c r="A282" s="247"/>
      <c r="B282" s="258"/>
      <c r="C282" s="259"/>
      <c r="D282" s="258"/>
      <c r="E282" s="258"/>
      <c r="F282" s="247"/>
      <c r="G282" s="258"/>
      <c r="I282" s="262"/>
      <c r="J282" s="263"/>
      <c r="K282" s="262"/>
      <c r="L282" s="262"/>
      <c r="M282" s="259"/>
    </row>
    <row r="283" spans="1:13" ht="11.1" customHeight="1" x14ac:dyDescent="0.2">
      <c r="A283" s="247"/>
      <c r="B283" s="258"/>
      <c r="C283" s="259"/>
      <c r="D283" s="258"/>
      <c r="E283" s="258"/>
      <c r="F283" s="247"/>
      <c r="G283" s="258"/>
      <c r="I283" s="262"/>
      <c r="J283" s="263"/>
      <c r="K283" s="262"/>
      <c r="L283" s="262"/>
      <c r="M283" s="259"/>
    </row>
    <row r="284" spans="1:13" ht="11.1" customHeight="1" x14ac:dyDescent="0.2">
      <c r="A284" s="247"/>
      <c r="B284" s="258"/>
      <c r="C284" s="259"/>
      <c r="D284" s="258"/>
      <c r="E284" s="258"/>
      <c r="F284" s="247"/>
      <c r="G284" s="258"/>
      <c r="I284" s="262"/>
      <c r="J284" s="263"/>
      <c r="K284" s="262"/>
      <c r="L284" s="262"/>
      <c r="M284" s="259"/>
    </row>
    <row r="285" spans="1:13" ht="11.1" customHeight="1" x14ac:dyDescent="0.2">
      <c r="A285" s="247"/>
      <c r="B285" s="258"/>
      <c r="C285" s="259"/>
      <c r="D285" s="258"/>
      <c r="E285" s="258"/>
      <c r="F285" s="247"/>
      <c r="G285" s="258"/>
      <c r="I285" s="262"/>
      <c r="J285" s="263"/>
      <c r="K285" s="262"/>
      <c r="L285" s="262"/>
      <c r="M285" s="259"/>
    </row>
    <row r="286" spans="1:13" ht="11.1" customHeight="1" x14ac:dyDescent="0.2">
      <c r="A286" s="247"/>
      <c r="B286" s="258"/>
      <c r="C286" s="259"/>
      <c r="D286" s="258"/>
      <c r="E286" s="258"/>
      <c r="F286" s="247"/>
      <c r="G286" s="258"/>
      <c r="I286" s="262"/>
      <c r="J286" s="263"/>
      <c r="K286" s="262"/>
      <c r="L286" s="262"/>
      <c r="M286" s="259"/>
    </row>
    <row r="287" spans="1:13" ht="11.1" customHeight="1" x14ac:dyDescent="0.2">
      <c r="A287" s="247"/>
      <c r="B287" s="258"/>
      <c r="C287" s="259"/>
      <c r="D287" s="258"/>
      <c r="E287" s="258"/>
      <c r="F287" s="247"/>
      <c r="G287" s="258"/>
      <c r="I287" s="262"/>
      <c r="J287" s="263"/>
      <c r="K287" s="262"/>
      <c r="L287" s="262"/>
      <c r="M287" s="259"/>
    </row>
    <row r="288" spans="1:13" ht="11.1" customHeight="1" x14ac:dyDescent="0.2">
      <c r="A288" s="247"/>
      <c r="B288" s="258"/>
      <c r="C288" s="259"/>
      <c r="D288" s="258"/>
      <c r="E288" s="258"/>
      <c r="F288" s="247"/>
      <c r="G288" s="258"/>
      <c r="I288" s="262"/>
      <c r="J288" s="263"/>
      <c r="K288" s="262"/>
      <c r="L288" s="262"/>
      <c r="M288" s="259"/>
    </row>
    <row r="289" spans="1:13" ht="11.1" customHeight="1" x14ac:dyDescent="0.2">
      <c r="A289" s="247"/>
      <c r="B289" s="258"/>
      <c r="C289" s="259"/>
      <c r="D289" s="258"/>
      <c r="E289" s="258"/>
      <c r="F289" s="247"/>
      <c r="G289" s="258"/>
      <c r="I289" s="262"/>
      <c r="J289" s="263"/>
      <c r="K289" s="262"/>
      <c r="L289" s="262"/>
      <c r="M289" s="259"/>
    </row>
    <row r="290" spans="1:13" ht="11.1" customHeight="1" x14ac:dyDescent="0.2">
      <c r="A290" s="247"/>
      <c r="B290" s="258"/>
      <c r="C290" s="259"/>
      <c r="D290" s="258"/>
      <c r="E290" s="258"/>
      <c r="F290" s="247"/>
      <c r="G290" s="258"/>
      <c r="I290" s="262"/>
      <c r="J290" s="263"/>
      <c r="K290" s="262"/>
      <c r="L290" s="262"/>
      <c r="M290" s="259"/>
    </row>
    <row r="291" spans="1:13" ht="11.1" customHeight="1" x14ac:dyDescent="0.2">
      <c r="A291" s="247"/>
      <c r="B291" s="258"/>
      <c r="C291" s="259"/>
      <c r="D291" s="258"/>
      <c r="E291" s="258"/>
      <c r="F291" s="247"/>
      <c r="G291" s="258"/>
      <c r="I291" s="262"/>
      <c r="J291" s="263"/>
      <c r="K291" s="262"/>
      <c r="L291" s="262"/>
      <c r="M291" s="259"/>
    </row>
    <row r="292" spans="1:13" ht="11.1" customHeight="1" x14ac:dyDescent="0.2">
      <c r="A292" s="247"/>
      <c r="B292" s="258"/>
      <c r="C292" s="259"/>
      <c r="D292" s="258"/>
      <c r="E292" s="258"/>
      <c r="F292" s="247"/>
      <c r="G292" s="258"/>
      <c r="I292" s="262"/>
      <c r="J292" s="263"/>
      <c r="K292" s="262"/>
      <c r="L292" s="262"/>
      <c r="M292" s="259"/>
    </row>
    <row r="293" spans="1:13" ht="11.1" customHeight="1" x14ac:dyDescent="0.2">
      <c r="A293" s="247"/>
      <c r="B293" s="258"/>
      <c r="C293" s="259"/>
      <c r="D293" s="258"/>
      <c r="E293" s="258"/>
      <c r="F293" s="247"/>
      <c r="G293" s="258"/>
      <c r="I293" s="262"/>
      <c r="J293" s="263"/>
      <c r="K293" s="262"/>
      <c r="L293" s="262"/>
      <c r="M293" s="259"/>
    </row>
    <row r="294" spans="1:13" ht="11.1" customHeight="1" x14ac:dyDescent="0.2">
      <c r="A294" s="247"/>
      <c r="B294" s="258"/>
      <c r="C294" s="259"/>
      <c r="D294" s="258"/>
      <c r="E294" s="258"/>
      <c r="F294" s="289"/>
      <c r="G294" s="258"/>
      <c r="I294" s="262"/>
      <c r="J294" s="263"/>
      <c r="K294" s="262"/>
      <c r="L294" s="262"/>
      <c r="M294" s="259"/>
    </row>
    <row r="295" spans="1:13" ht="11.1" customHeight="1" x14ac:dyDescent="0.2">
      <c r="A295" s="247"/>
      <c r="B295" s="258"/>
      <c r="C295" s="259"/>
      <c r="D295" s="258"/>
      <c r="E295" s="258"/>
      <c r="F295" s="247"/>
      <c r="G295" s="258"/>
      <c r="I295" s="262"/>
      <c r="J295" s="263"/>
      <c r="K295" s="262"/>
      <c r="L295" s="262"/>
      <c r="M295" s="259"/>
    </row>
    <row r="296" spans="1:13" ht="11.1" customHeight="1" x14ac:dyDescent="0.2">
      <c r="A296" s="247"/>
      <c r="B296" s="258"/>
      <c r="C296" s="259"/>
      <c r="D296" s="258"/>
      <c r="E296" s="258"/>
      <c r="F296" s="247"/>
      <c r="G296" s="258"/>
      <c r="I296" s="262"/>
      <c r="J296" s="263"/>
      <c r="K296" s="262"/>
      <c r="L296" s="262"/>
      <c r="M296" s="259"/>
    </row>
    <row r="297" spans="1:13" ht="11.1" customHeight="1" x14ac:dyDescent="0.2">
      <c r="A297" s="247"/>
      <c r="B297" s="258"/>
      <c r="C297" s="259"/>
      <c r="D297" s="258"/>
      <c r="E297" s="258"/>
      <c r="G297" s="290"/>
      <c r="I297" s="262"/>
      <c r="J297" s="263"/>
      <c r="K297" s="262"/>
      <c r="L297" s="262"/>
      <c r="M297" s="259"/>
    </row>
    <row r="298" spans="1:13" x14ac:dyDescent="0.2">
      <c r="B298" s="258"/>
      <c r="C298" s="259"/>
      <c r="D298" s="258"/>
      <c r="E298" s="258"/>
      <c r="G298" s="258"/>
      <c r="I298" s="262"/>
      <c r="J298" s="263"/>
      <c r="K298" s="262"/>
      <c r="L298" s="262"/>
      <c r="M298" s="259"/>
    </row>
    <row r="299" spans="1:13" x14ac:dyDescent="0.2">
      <c r="B299" s="258"/>
      <c r="C299" s="259"/>
      <c r="D299" s="258"/>
      <c r="E299" s="258"/>
      <c r="G299" s="290"/>
      <c r="I299" s="262"/>
      <c r="J299" s="263"/>
      <c r="K299" s="262"/>
      <c r="L299" s="262"/>
      <c r="M299" s="259"/>
    </row>
    <row r="300" spans="1:13" x14ac:dyDescent="0.2">
      <c r="B300" s="258"/>
      <c r="C300" s="259"/>
      <c r="D300" s="258"/>
      <c r="E300" s="258"/>
      <c r="G300" s="258"/>
      <c r="I300" s="262"/>
      <c r="J300" s="263"/>
      <c r="K300" s="262"/>
      <c r="L300" s="262"/>
      <c r="M300" s="259"/>
    </row>
    <row r="301" spans="1:13" x14ac:dyDescent="0.2">
      <c r="B301" s="258"/>
      <c r="C301" s="259"/>
      <c r="D301" s="258"/>
      <c r="E301" s="258"/>
      <c r="G301" s="290"/>
      <c r="I301" s="262"/>
      <c r="J301" s="263"/>
      <c r="K301" s="262"/>
      <c r="L301" s="262"/>
      <c r="M301" s="259"/>
    </row>
    <row r="302" spans="1:13" x14ac:dyDescent="0.2">
      <c r="B302" s="258"/>
      <c r="C302" s="259"/>
      <c r="D302" s="258"/>
      <c r="E302" s="258"/>
      <c r="G302" s="258"/>
      <c r="I302" s="262"/>
      <c r="J302" s="263"/>
      <c r="K302" s="262"/>
      <c r="L302" s="262"/>
      <c r="M302" s="259"/>
    </row>
    <row r="303" spans="1:13" x14ac:dyDescent="0.2">
      <c r="B303" s="258"/>
      <c r="C303" s="259"/>
      <c r="D303" s="258"/>
      <c r="E303" s="258"/>
      <c r="G303" s="290"/>
      <c r="I303" s="262"/>
      <c r="J303" s="263"/>
      <c r="K303" s="262"/>
      <c r="L303" s="262"/>
      <c r="M303" s="259"/>
    </row>
    <row r="304" spans="1:13" x14ac:dyDescent="0.2">
      <c r="B304" s="258"/>
      <c r="C304" s="259"/>
      <c r="D304" s="258"/>
      <c r="E304" s="258"/>
      <c r="G304" s="258"/>
      <c r="I304" s="262"/>
      <c r="J304" s="263"/>
      <c r="K304" s="262"/>
      <c r="L304" s="262"/>
      <c r="M304" s="259"/>
    </row>
    <row r="305" spans="2:13" x14ac:dyDescent="0.2">
      <c r="B305" s="258"/>
      <c r="C305" s="259"/>
      <c r="D305" s="258"/>
      <c r="E305" s="258"/>
      <c r="G305" s="290"/>
      <c r="I305" s="262"/>
      <c r="J305" s="263"/>
      <c r="K305" s="262"/>
      <c r="L305" s="262"/>
      <c r="M305" s="259"/>
    </row>
    <row r="306" spans="2:13" x14ac:dyDescent="0.2">
      <c r="B306" s="258"/>
      <c r="C306" s="259"/>
      <c r="D306" s="258"/>
      <c r="E306" s="258"/>
      <c r="G306" s="258"/>
      <c r="I306" s="262"/>
      <c r="J306" s="263"/>
      <c r="K306" s="262"/>
      <c r="L306" s="262"/>
      <c r="M306" s="259"/>
    </row>
    <row r="307" spans="2:13" x14ac:dyDescent="0.2">
      <c r="B307" s="258"/>
      <c r="C307" s="259"/>
      <c r="D307" s="258"/>
      <c r="E307" s="258"/>
      <c r="G307" s="290"/>
      <c r="I307" s="262"/>
      <c r="J307" s="263"/>
      <c r="K307" s="262"/>
      <c r="L307" s="262"/>
      <c r="M307" s="259"/>
    </row>
    <row r="308" spans="2:13" x14ac:dyDescent="0.2">
      <c r="B308" s="258"/>
      <c r="C308" s="259"/>
      <c r="D308" s="258"/>
      <c r="E308" s="258"/>
      <c r="G308" s="258"/>
      <c r="I308" s="262"/>
      <c r="J308" s="263"/>
      <c r="K308" s="262"/>
      <c r="L308" s="262"/>
      <c r="M308" s="259"/>
    </row>
    <row r="309" spans="2:13" x14ac:dyDescent="0.2">
      <c r="B309" s="258"/>
      <c r="C309" s="259"/>
      <c r="D309" s="258"/>
      <c r="E309" s="258"/>
      <c r="G309" s="290"/>
      <c r="I309" s="262"/>
      <c r="J309" s="263"/>
      <c r="K309" s="262"/>
      <c r="L309" s="262"/>
      <c r="M309" s="259"/>
    </row>
    <row r="310" spans="2:13" x14ac:dyDescent="0.2">
      <c r="B310" s="258"/>
      <c r="C310" s="259"/>
      <c r="D310" s="258"/>
      <c r="E310" s="258"/>
      <c r="G310" s="258"/>
      <c r="I310" s="262"/>
      <c r="J310" s="263"/>
      <c r="K310" s="262"/>
      <c r="L310" s="262"/>
      <c r="M310" s="259"/>
    </row>
    <row r="311" spans="2:13" x14ac:dyDescent="0.2">
      <c r="B311" s="258"/>
      <c r="C311" s="259"/>
      <c r="D311" s="258"/>
      <c r="E311" s="258"/>
      <c r="G311" s="290"/>
      <c r="I311" s="262"/>
      <c r="J311" s="263"/>
      <c r="K311" s="262"/>
      <c r="L311" s="262"/>
      <c r="M311" s="259"/>
    </row>
    <row r="312" spans="2:13" x14ac:dyDescent="0.2">
      <c r="B312" s="258"/>
      <c r="C312" s="259"/>
      <c r="D312" s="258"/>
      <c r="E312" s="258"/>
      <c r="G312" s="258"/>
      <c r="I312" s="262"/>
      <c r="J312" s="263"/>
      <c r="K312" s="262"/>
      <c r="L312" s="262"/>
      <c r="M312" s="259"/>
    </row>
    <row r="313" spans="2:13" x14ac:dyDescent="0.2">
      <c r="B313" s="258"/>
      <c r="C313" s="259"/>
      <c r="D313" s="258"/>
      <c r="E313" s="258"/>
      <c r="G313" s="290"/>
      <c r="I313" s="262"/>
      <c r="J313" s="263"/>
      <c r="K313" s="262"/>
      <c r="L313" s="262"/>
      <c r="M313" s="259"/>
    </row>
    <row r="314" spans="2:13" x14ac:dyDescent="0.2">
      <c r="B314" s="258"/>
      <c r="C314" s="259"/>
      <c r="D314" s="258"/>
      <c r="E314" s="258"/>
      <c r="G314" s="258"/>
      <c r="I314" s="262"/>
      <c r="J314" s="263"/>
      <c r="K314" s="262"/>
      <c r="L314" s="262"/>
      <c r="M314" s="259"/>
    </row>
    <row r="315" spans="2:13" x14ac:dyDescent="0.2">
      <c r="B315" s="258"/>
      <c r="C315" s="259"/>
      <c r="D315" s="258"/>
      <c r="E315" s="258"/>
      <c r="G315" s="290"/>
      <c r="I315" s="262"/>
      <c r="J315" s="263"/>
      <c r="K315" s="262"/>
      <c r="L315" s="262"/>
      <c r="M315" s="259"/>
    </row>
    <row r="316" spans="2:13" x14ac:dyDescent="0.2">
      <c r="B316" s="258"/>
      <c r="C316" s="259"/>
      <c r="D316" s="258"/>
      <c r="E316" s="258"/>
      <c r="G316" s="258"/>
      <c r="I316" s="262"/>
      <c r="J316" s="263"/>
      <c r="K316" s="262"/>
      <c r="L316" s="262"/>
      <c r="M316" s="259"/>
    </row>
    <row r="317" spans="2:13" x14ac:dyDescent="0.2">
      <c r="B317" s="258"/>
      <c r="C317" s="259"/>
      <c r="D317" s="258"/>
      <c r="E317" s="258"/>
      <c r="G317" s="290"/>
      <c r="I317" s="262"/>
      <c r="J317" s="263"/>
      <c r="K317" s="262"/>
      <c r="L317" s="262"/>
      <c r="M317" s="259"/>
    </row>
    <row r="318" spans="2:13" x14ac:dyDescent="0.2">
      <c r="G318" s="258"/>
      <c r="M318" s="259"/>
    </row>
  </sheetData>
  <mergeCells count="4">
    <mergeCell ref="B2:F2"/>
    <mergeCell ref="H2:L2"/>
    <mergeCell ref="B4:E4"/>
    <mergeCell ref="H4:K4"/>
  </mergeCells>
  <pageMargins left="0.19685039370078741" right="0.19685039370078741" top="0.19685039370078741" bottom="0.19685039370078741" header="0" footer="0"/>
  <pageSetup paperSize="9" scale="96" orientation="landscape" r:id="rId1"/>
  <headerFooter>
    <oddHeader>&amp;L&amp;"Aptos"&amp;10&amp;K008000 Classificação: Pública&amp;1#_x000D_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B040-6763-4622-A56F-BAD4919B7A21}">
  <sheetPr codeName="Plan10">
    <tabColor theme="6" tint="-0.499984740745262"/>
  </sheetPr>
  <dimension ref="A1:H313"/>
  <sheetViews>
    <sheetView showGridLines="0" showRowColHeaders="0" zoomScaleNormal="100" zoomScaleSheetLayoutView="120" workbookViewId="0">
      <selection sqref="A1:AP1"/>
    </sheetView>
  </sheetViews>
  <sheetFormatPr defaultColWidth="8.7109375" defaultRowHeight="12" x14ac:dyDescent="0.2"/>
  <cols>
    <col min="1" max="1" width="1.42578125" style="232" customWidth="1"/>
    <col min="2" max="2" width="6.42578125" style="232" customWidth="1"/>
    <col min="3" max="3" width="4.85546875" style="232" bestFit="1" customWidth="1"/>
    <col min="4" max="4" width="14.85546875" style="232" bestFit="1" customWidth="1"/>
    <col min="5" max="5" width="13" style="232" customWidth="1"/>
    <col min="6" max="6" width="10" style="232" customWidth="1"/>
    <col min="7" max="7" width="3.7109375" style="233" customWidth="1"/>
    <col min="8" max="8" width="18.7109375" style="232" customWidth="1"/>
    <col min="9" max="16384" width="8.7109375" style="232"/>
  </cols>
  <sheetData>
    <row r="1" spans="1:8" ht="5.25" customHeight="1" x14ac:dyDescent="0.2">
      <c r="H1" s="234"/>
    </row>
    <row r="2" spans="1:8" ht="25.5" customHeight="1" x14ac:dyDescent="0.2">
      <c r="A2" s="235"/>
      <c r="B2" s="515" t="s">
        <v>702</v>
      </c>
      <c r="C2" s="515"/>
      <c r="D2" s="515"/>
      <c r="E2" s="515"/>
      <c r="F2" s="515"/>
      <c r="G2" s="235"/>
      <c r="H2" s="235"/>
    </row>
    <row r="3" spans="1:8" ht="2.25" customHeight="1" x14ac:dyDescent="0.2">
      <c r="H3" s="234"/>
    </row>
    <row r="4" spans="1:8" s="238" customFormat="1" ht="9.9499999999999993" customHeight="1" x14ac:dyDescent="0.2">
      <c r="A4" s="236"/>
      <c r="B4" s="518" t="s">
        <v>703</v>
      </c>
      <c r="C4" s="518"/>
      <c r="D4" s="518"/>
      <c r="E4" s="518"/>
      <c r="F4" s="237">
        <f>COUNTA(D7:D291)</f>
        <v>17</v>
      </c>
      <c r="G4" s="236"/>
    </row>
    <row r="5" spans="1:8" s="238" customFormat="1" ht="3.95" customHeight="1" x14ac:dyDescent="0.2">
      <c r="A5" s="236"/>
      <c r="B5" s="239"/>
      <c r="C5" s="239"/>
      <c r="D5" s="239"/>
      <c r="E5" s="239"/>
      <c r="F5" s="240"/>
      <c r="G5" s="236"/>
    </row>
    <row r="6" spans="1:8" s="246" customFormat="1" x14ac:dyDescent="0.2">
      <c r="A6" s="241"/>
      <c r="B6" s="242" t="s">
        <v>385</v>
      </c>
      <c r="C6" s="243" t="s">
        <v>386</v>
      </c>
      <c r="D6" s="244" t="s">
        <v>387</v>
      </c>
      <c r="E6" s="244" t="s">
        <v>388</v>
      </c>
      <c r="F6" s="245" t="s">
        <v>389</v>
      </c>
      <c r="G6" s="241"/>
    </row>
    <row r="7" spans="1:8" ht="11.1" customHeight="1" x14ac:dyDescent="0.2">
      <c r="A7" s="247"/>
      <c r="B7" s="248" t="s">
        <v>447</v>
      </c>
      <c r="C7" s="249" t="s">
        <v>454</v>
      </c>
      <c r="D7" s="250" t="s">
        <v>455</v>
      </c>
      <c r="E7" s="251" t="s">
        <v>704</v>
      </c>
      <c r="F7" s="252" t="s">
        <v>705</v>
      </c>
      <c r="G7" s="247"/>
    </row>
    <row r="8" spans="1:8" ht="11.1" customHeight="1" x14ac:dyDescent="0.2">
      <c r="A8" s="247"/>
      <c r="B8" s="257" t="s">
        <v>447</v>
      </c>
      <c r="C8" s="258" t="s">
        <v>454</v>
      </c>
      <c r="D8" s="259" t="s">
        <v>468</v>
      </c>
      <c r="E8" s="258" t="s">
        <v>706</v>
      </c>
      <c r="F8" s="260" t="s">
        <v>707</v>
      </c>
      <c r="G8" s="247"/>
    </row>
    <row r="9" spans="1:8" ht="11.1" customHeight="1" x14ac:dyDescent="0.2">
      <c r="A9" s="247"/>
      <c r="B9" s="265" t="s">
        <v>432</v>
      </c>
      <c r="C9" s="266" t="s">
        <v>440</v>
      </c>
      <c r="D9" s="267" t="s">
        <v>708</v>
      </c>
      <c r="E9" s="268" t="s">
        <v>709</v>
      </c>
      <c r="F9" s="269" t="s">
        <v>710</v>
      </c>
      <c r="G9" s="247"/>
    </row>
    <row r="10" spans="1:8" ht="11.1" customHeight="1" x14ac:dyDescent="0.2">
      <c r="A10" s="247"/>
      <c r="B10" s="257" t="s">
        <v>432</v>
      </c>
      <c r="C10" s="258" t="s">
        <v>440</v>
      </c>
      <c r="D10" s="259" t="s">
        <v>445</v>
      </c>
      <c r="E10" s="274" t="s">
        <v>711</v>
      </c>
      <c r="F10" s="275" t="s">
        <v>712</v>
      </c>
      <c r="G10" s="247"/>
    </row>
    <row r="11" spans="1:8" ht="11.1" customHeight="1" x14ac:dyDescent="0.2">
      <c r="A11" s="247"/>
      <c r="B11" s="265" t="s">
        <v>390</v>
      </c>
      <c r="C11" s="266" t="s">
        <v>391</v>
      </c>
      <c r="D11" s="267" t="s">
        <v>399</v>
      </c>
      <c r="E11" s="266" t="s">
        <v>713</v>
      </c>
      <c r="F11" s="276" t="s">
        <v>714</v>
      </c>
      <c r="G11" s="247"/>
    </row>
    <row r="12" spans="1:8" ht="11.1" customHeight="1" x14ac:dyDescent="0.2">
      <c r="A12" s="247"/>
      <c r="B12" s="257" t="s">
        <v>390</v>
      </c>
      <c r="C12" s="258" t="s">
        <v>391</v>
      </c>
      <c r="D12" s="259" t="s">
        <v>444</v>
      </c>
      <c r="E12" s="274" t="s">
        <v>715</v>
      </c>
      <c r="F12" s="275" t="s">
        <v>716</v>
      </c>
      <c r="G12" s="247"/>
    </row>
    <row r="13" spans="1:8" ht="11.1" customHeight="1" x14ac:dyDescent="0.2">
      <c r="A13" s="247"/>
      <c r="B13" s="265" t="s">
        <v>609</v>
      </c>
      <c r="C13" s="266" t="s">
        <v>615</v>
      </c>
      <c r="D13" s="267" t="s">
        <v>646</v>
      </c>
      <c r="E13" s="268" t="s">
        <v>717</v>
      </c>
      <c r="F13" s="269" t="s">
        <v>718</v>
      </c>
      <c r="G13" s="247"/>
    </row>
    <row r="14" spans="1:8" ht="11.1" customHeight="1" x14ac:dyDescent="0.2">
      <c r="A14" s="247"/>
      <c r="B14" s="257" t="s">
        <v>609</v>
      </c>
      <c r="C14" s="258" t="s">
        <v>615</v>
      </c>
      <c r="D14" s="259" t="s">
        <v>691</v>
      </c>
      <c r="E14" s="274" t="s">
        <v>719</v>
      </c>
      <c r="F14" s="275" t="s">
        <v>720</v>
      </c>
      <c r="G14" s="247"/>
    </row>
    <row r="15" spans="1:8" ht="11.1" customHeight="1" x14ac:dyDescent="0.2">
      <c r="A15" s="247"/>
      <c r="B15" s="265" t="s">
        <v>422</v>
      </c>
      <c r="C15" s="266" t="s">
        <v>423</v>
      </c>
      <c r="D15" s="267" t="s">
        <v>424</v>
      </c>
      <c r="E15" s="268" t="s">
        <v>721</v>
      </c>
      <c r="F15" s="269" t="s">
        <v>722</v>
      </c>
      <c r="G15" s="247"/>
    </row>
    <row r="16" spans="1:8" ht="11.1" customHeight="1" x14ac:dyDescent="0.2">
      <c r="A16" s="247"/>
      <c r="B16" s="257" t="s">
        <v>422</v>
      </c>
      <c r="C16" s="258" t="s">
        <v>423</v>
      </c>
      <c r="D16" s="259" t="s">
        <v>480</v>
      </c>
      <c r="E16" s="274" t="s">
        <v>723</v>
      </c>
      <c r="F16" s="275" t="s">
        <v>724</v>
      </c>
      <c r="G16" s="247"/>
    </row>
    <row r="17" spans="1:7" ht="11.1" customHeight="1" x14ac:dyDescent="0.2">
      <c r="A17" s="247"/>
      <c r="B17" s="265" t="s">
        <v>606</v>
      </c>
      <c r="C17" s="266" t="s">
        <v>607</v>
      </c>
      <c r="D17" s="267" t="s">
        <v>608</v>
      </c>
      <c r="E17" s="268" t="s">
        <v>725</v>
      </c>
      <c r="F17" s="269" t="s">
        <v>726</v>
      </c>
      <c r="G17" s="247"/>
    </row>
    <row r="18" spans="1:7" ht="11.1" customHeight="1" x14ac:dyDescent="0.2">
      <c r="A18" s="247"/>
      <c r="B18" s="257" t="s">
        <v>393</v>
      </c>
      <c r="C18" s="258" t="s">
        <v>400</v>
      </c>
      <c r="D18" s="259" t="s">
        <v>414</v>
      </c>
      <c r="E18" s="274" t="s">
        <v>727</v>
      </c>
      <c r="F18" s="275" t="s">
        <v>728</v>
      </c>
      <c r="G18" s="247"/>
    </row>
    <row r="19" spans="1:7" ht="11.1" customHeight="1" x14ac:dyDescent="0.2">
      <c r="A19" s="247"/>
      <c r="B19" s="265" t="s">
        <v>505</v>
      </c>
      <c r="C19" s="266" t="s">
        <v>506</v>
      </c>
      <c r="D19" s="267" t="s">
        <v>522</v>
      </c>
      <c r="E19" s="268" t="s">
        <v>729</v>
      </c>
      <c r="F19" s="269" t="s">
        <v>730</v>
      </c>
      <c r="G19" s="247"/>
    </row>
    <row r="20" spans="1:7" ht="11.1" customHeight="1" x14ac:dyDescent="0.2">
      <c r="A20" s="247"/>
      <c r="B20" s="257" t="s">
        <v>505</v>
      </c>
      <c r="C20" s="258" t="s">
        <v>506</v>
      </c>
      <c r="D20" s="259" t="s">
        <v>530</v>
      </c>
      <c r="E20" s="274" t="s">
        <v>731</v>
      </c>
      <c r="F20" s="275" t="s">
        <v>732</v>
      </c>
      <c r="G20" s="247"/>
    </row>
    <row r="21" spans="1:7" ht="11.1" customHeight="1" x14ac:dyDescent="0.2">
      <c r="A21" s="247"/>
      <c r="B21" s="265" t="s">
        <v>557</v>
      </c>
      <c r="C21" s="266" t="s">
        <v>570</v>
      </c>
      <c r="D21" s="267" t="s">
        <v>571</v>
      </c>
      <c r="E21" s="268" t="s">
        <v>733</v>
      </c>
      <c r="F21" s="269" t="s">
        <v>734</v>
      </c>
      <c r="G21" s="247"/>
    </row>
    <row r="22" spans="1:7" ht="11.1" customHeight="1" x14ac:dyDescent="0.2">
      <c r="A22" s="247"/>
      <c r="B22" s="257" t="s">
        <v>537</v>
      </c>
      <c r="C22" s="258" t="s">
        <v>543</v>
      </c>
      <c r="D22" s="259" t="s">
        <v>547</v>
      </c>
      <c r="E22" s="274" t="s">
        <v>735</v>
      </c>
      <c r="F22" s="275" t="s">
        <v>736</v>
      </c>
      <c r="G22" s="247"/>
    </row>
    <row r="23" spans="1:7" ht="11.1" customHeight="1" x14ac:dyDescent="0.2">
      <c r="A23" s="247"/>
      <c r="B23" s="265" t="s">
        <v>537</v>
      </c>
      <c r="C23" s="266" t="s">
        <v>543</v>
      </c>
      <c r="D23" s="267" t="s">
        <v>549</v>
      </c>
      <c r="E23" s="268" t="s">
        <v>737</v>
      </c>
      <c r="F23" s="269" t="s">
        <v>738</v>
      </c>
      <c r="G23" s="247"/>
    </row>
    <row r="24" spans="1:7" ht="11.1" customHeight="1" x14ac:dyDescent="0.2">
      <c r="A24" s="247"/>
      <c r="B24" s="257"/>
      <c r="C24" s="258"/>
      <c r="D24" s="259"/>
      <c r="E24" s="274"/>
      <c r="F24" s="275"/>
      <c r="G24" s="247"/>
    </row>
    <row r="25" spans="1:7" ht="11.1" customHeight="1" x14ac:dyDescent="0.2">
      <c r="A25" s="247"/>
      <c r="B25" s="265"/>
      <c r="C25" s="266"/>
      <c r="D25" s="267"/>
      <c r="E25" s="268"/>
      <c r="F25" s="269"/>
      <c r="G25" s="247"/>
    </row>
    <row r="26" spans="1:7" ht="11.1" customHeight="1" x14ac:dyDescent="0.2">
      <c r="A26" s="247"/>
      <c r="B26" s="257"/>
      <c r="C26" s="258"/>
      <c r="D26" s="259"/>
      <c r="E26" s="258"/>
      <c r="F26" s="260"/>
      <c r="G26" s="247"/>
    </row>
    <row r="27" spans="1:7" ht="11.1" customHeight="1" x14ac:dyDescent="0.2">
      <c r="A27" s="247"/>
      <c r="B27" s="265"/>
      <c r="C27" s="266"/>
      <c r="D27" s="267"/>
      <c r="E27" s="268"/>
      <c r="F27" s="269"/>
      <c r="G27" s="247"/>
    </row>
    <row r="28" spans="1:7" ht="11.1" customHeight="1" x14ac:dyDescent="0.2">
      <c r="A28" s="247"/>
      <c r="B28" s="257"/>
      <c r="C28" s="258"/>
      <c r="D28" s="259"/>
      <c r="E28" s="274"/>
      <c r="F28" s="275"/>
      <c r="G28" s="247"/>
    </row>
    <row r="29" spans="1:7" ht="11.1" customHeight="1" x14ac:dyDescent="0.2">
      <c r="A29" s="247"/>
      <c r="B29" s="270"/>
      <c r="C29" s="271"/>
      <c r="D29" s="272"/>
      <c r="E29" s="271"/>
      <c r="F29" s="273"/>
      <c r="G29" s="247"/>
    </row>
    <row r="30" spans="1:7" ht="11.1" customHeight="1" x14ac:dyDescent="0.2">
      <c r="A30" s="247"/>
      <c r="B30" s="261"/>
      <c r="C30" s="262"/>
      <c r="D30" s="263"/>
      <c r="E30" s="262"/>
      <c r="F30" s="264"/>
      <c r="G30" s="247"/>
    </row>
    <row r="31" spans="1:7" ht="11.1" customHeight="1" x14ac:dyDescent="0.2">
      <c r="A31" s="247"/>
      <c r="B31" s="270"/>
      <c r="C31" s="271"/>
      <c r="D31" s="272"/>
      <c r="E31" s="271"/>
      <c r="F31" s="273"/>
      <c r="G31" s="247"/>
    </row>
    <row r="32" spans="1:7" ht="11.1" customHeight="1" x14ac:dyDescent="0.2">
      <c r="A32" s="247"/>
      <c r="B32" s="261"/>
      <c r="C32" s="262"/>
      <c r="D32" s="263"/>
      <c r="E32" s="262"/>
      <c r="F32" s="264"/>
      <c r="G32" s="247"/>
    </row>
    <row r="33" spans="1:7" ht="11.1" customHeight="1" x14ac:dyDescent="0.2">
      <c r="A33" s="247"/>
      <c r="B33" s="270"/>
      <c r="C33" s="271"/>
      <c r="D33" s="272"/>
      <c r="E33" s="271"/>
      <c r="F33" s="273"/>
      <c r="G33" s="247"/>
    </row>
    <row r="34" spans="1:7" ht="11.1" customHeight="1" x14ac:dyDescent="0.2">
      <c r="A34" s="247"/>
      <c r="B34" s="261"/>
      <c r="C34" s="262"/>
      <c r="D34" s="263"/>
      <c r="E34" s="262"/>
      <c r="F34" s="264"/>
      <c r="G34" s="247"/>
    </row>
    <row r="35" spans="1:7" ht="11.1" customHeight="1" x14ac:dyDescent="0.2">
      <c r="A35" s="247"/>
      <c r="B35" s="270"/>
      <c r="C35" s="271"/>
      <c r="D35" s="272"/>
      <c r="E35" s="271"/>
      <c r="F35" s="273"/>
      <c r="G35" s="247"/>
    </row>
    <row r="36" spans="1:7" ht="11.1" customHeight="1" x14ac:dyDescent="0.2">
      <c r="A36" s="247"/>
      <c r="B36" s="261"/>
      <c r="C36" s="262"/>
      <c r="D36" s="263"/>
      <c r="E36" s="262"/>
      <c r="F36" s="264"/>
      <c r="G36" s="247"/>
    </row>
    <row r="37" spans="1:7" ht="11.1" customHeight="1" x14ac:dyDescent="0.2">
      <c r="A37" s="247"/>
      <c r="B37" s="270"/>
      <c r="C37" s="271"/>
      <c r="D37" s="272"/>
      <c r="E37" s="271"/>
      <c r="F37" s="273"/>
      <c r="G37" s="247"/>
    </row>
    <row r="38" spans="1:7" ht="11.1" customHeight="1" x14ac:dyDescent="0.2">
      <c r="A38" s="247"/>
      <c r="B38" s="261"/>
      <c r="C38" s="262"/>
      <c r="D38" s="263"/>
      <c r="E38" s="262"/>
      <c r="F38" s="264"/>
      <c r="G38" s="247"/>
    </row>
    <row r="39" spans="1:7" ht="11.1" customHeight="1" x14ac:dyDescent="0.2">
      <c r="A39" s="247"/>
      <c r="B39" s="270"/>
      <c r="C39" s="271"/>
      <c r="D39" s="272"/>
      <c r="E39" s="271"/>
      <c r="F39" s="273"/>
      <c r="G39" s="247"/>
    </row>
    <row r="40" spans="1:7" ht="11.1" customHeight="1" x14ac:dyDescent="0.2">
      <c r="A40" s="247"/>
      <c r="B40" s="261"/>
      <c r="C40" s="262"/>
      <c r="D40" s="263"/>
      <c r="E40" s="262"/>
      <c r="F40" s="264"/>
      <c r="G40" s="247"/>
    </row>
    <row r="41" spans="1:7" ht="11.1" customHeight="1" x14ac:dyDescent="0.2">
      <c r="A41" s="247"/>
      <c r="B41" s="270"/>
      <c r="C41" s="271"/>
      <c r="D41" s="272"/>
      <c r="E41" s="271"/>
      <c r="F41" s="273"/>
      <c r="G41" s="247"/>
    </row>
    <row r="42" spans="1:7" ht="11.1" customHeight="1" x14ac:dyDescent="0.2">
      <c r="A42" s="247"/>
      <c r="B42" s="261"/>
      <c r="C42" s="262"/>
      <c r="D42" s="263"/>
      <c r="E42" s="262"/>
      <c r="F42" s="264"/>
      <c r="G42" s="247"/>
    </row>
    <row r="43" spans="1:7" ht="11.1" customHeight="1" x14ac:dyDescent="0.2">
      <c r="A43" s="247"/>
      <c r="B43" s="270"/>
      <c r="C43" s="271"/>
      <c r="D43" s="272"/>
      <c r="E43" s="271"/>
      <c r="F43" s="273"/>
      <c r="G43" s="247"/>
    </row>
    <row r="44" spans="1:7" ht="11.1" customHeight="1" x14ac:dyDescent="0.2">
      <c r="A44" s="247"/>
      <c r="B44" s="261"/>
      <c r="C44" s="262"/>
      <c r="D44" s="263"/>
      <c r="E44" s="262"/>
      <c r="F44" s="264"/>
      <c r="G44" s="247"/>
    </row>
    <row r="45" spans="1:7" ht="11.1" customHeight="1" x14ac:dyDescent="0.2">
      <c r="A45" s="247"/>
      <c r="B45" s="270"/>
      <c r="C45" s="271"/>
      <c r="D45" s="272"/>
      <c r="E45" s="271"/>
      <c r="F45" s="273"/>
      <c r="G45" s="247"/>
    </row>
    <row r="46" spans="1:7" ht="11.1" customHeight="1" x14ac:dyDescent="0.2">
      <c r="A46" s="247"/>
      <c r="B46" s="261"/>
      <c r="C46" s="262"/>
      <c r="D46" s="263"/>
      <c r="E46" s="262"/>
      <c r="F46" s="264"/>
      <c r="G46" s="247"/>
    </row>
    <row r="47" spans="1:7" ht="11.1" customHeight="1" x14ac:dyDescent="0.2">
      <c r="A47" s="247"/>
      <c r="B47" s="270"/>
      <c r="C47" s="271"/>
      <c r="D47" s="272"/>
      <c r="E47" s="271"/>
      <c r="F47" s="273"/>
      <c r="G47" s="247"/>
    </row>
    <row r="48" spans="1:7" ht="11.1" customHeight="1" x14ac:dyDescent="0.2">
      <c r="A48" s="247"/>
      <c r="B48" s="261"/>
      <c r="C48" s="262"/>
      <c r="D48" s="263"/>
      <c r="E48" s="262"/>
      <c r="F48" s="264"/>
      <c r="G48" s="247"/>
    </row>
    <row r="49" spans="1:7" ht="11.1" customHeight="1" x14ac:dyDescent="0.2">
      <c r="A49" s="247"/>
      <c r="B49" s="270"/>
      <c r="C49" s="271"/>
      <c r="D49" s="272"/>
      <c r="E49" s="271"/>
      <c r="F49" s="273"/>
      <c r="G49" s="247"/>
    </row>
    <row r="50" spans="1:7" ht="11.1" customHeight="1" x14ac:dyDescent="0.2">
      <c r="A50" s="247"/>
      <c r="B50" s="261"/>
      <c r="C50" s="262"/>
      <c r="D50" s="263"/>
      <c r="E50" s="262"/>
      <c r="F50" s="264"/>
      <c r="G50" s="247"/>
    </row>
    <row r="51" spans="1:7" ht="11.1" customHeight="1" x14ac:dyDescent="0.2">
      <c r="A51" s="247"/>
      <c r="B51" s="270"/>
      <c r="C51" s="271"/>
      <c r="D51" s="272"/>
      <c r="E51" s="271"/>
      <c r="F51" s="273"/>
      <c r="G51" s="247"/>
    </row>
    <row r="52" spans="1:7" ht="11.1" customHeight="1" x14ac:dyDescent="0.2">
      <c r="A52" s="247"/>
      <c r="B52" s="261"/>
      <c r="C52" s="262"/>
      <c r="D52" s="263"/>
      <c r="E52" s="262"/>
      <c r="F52" s="264"/>
      <c r="G52" s="247"/>
    </row>
    <row r="53" spans="1:7" ht="11.1" customHeight="1" x14ac:dyDescent="0.2">
      <c r="A53" s="247"/>
      <c r="B53" s="270"/>
      <c r="C53" s="271"/>
      <c r="D53" s="272"/>
      <c r="E53" s="271"/>
      <c r="F53" s="273"/>
      <c r="G53" s="247"/>
    </row>
    <row r="54" spans="1:7" ht="11.1" customHeight="1" x14ac:dyDescent="0.2">
      <c r="A54" s="247"/>
      <c r="B54" s="261"/>
      <c r="C54" s="262"/>
      <c r="D54" s="263"/>
      <c r="E54" s="262"/>
      <c r="F54" s="264"/>
      <c r="G54" s="247"/>
    </row>
    <row r="55" spans="1:7" ht="11.1" customHeight="1" x14ac:dyDescent="0.2">
      <c r="A55" s="247"/>
      <c r="B55" s="270"/>
      <c r="C55" s="271"/>
      <c r="D55" s="272"/>
      <c r="E55" s="271"/>
      <c r="F55" s="273"/>
      <c r="G55" s="247"/>
    </row>
    <row r="56" spans="1:7" ht="11.1" customHeight="1" x14ac:dyDescent="0.2">
      <c r="A56" s="247"/>
      <c r="B56" s="261"/>
      <c r="C56" s="262"/>
      <c r="D56" s="263"/>
      <c r="E56" s="262"/>
      <c r="F56" s="264"/>
      <c r="G56" s="247"/>
    </row>
    <row r="57" spans="1:7" ht="11.1" customHeight="1" x14ac:dyDescent="0.2">
      <c r="A57" s="247"/>
      <c r="B57" s="270"/>
      <c r="C57" s="271"/>
      <c r="D57" s="272"/>
      <c r="E57" s="271"/>
      <c r="F57" s="273"/>
      <c r="G57" s="247"/>
    </row>
    <row r="58" spans="1:7" ht="11.1" customHeight="1" x14ac:dyDescent="0.2">
      <c r="A58" s="247"/>
      <c r="B58" s="261"/>
      <c r="C58" s="262"/>
      <c r="D58" s="263"/>
      <c r="E58" s="262"/>
      <c r="F58" s="264"/>
      <c r="G58" s="247"/>
    </row>
    <row r="59" spans="1:7" ht="11.1" customHeight="1" x14ac:dyDescent="0.2">
      <c r="A59" s="247"/>
      <c r="B59" s="270"/>
      <c r="C59" s="271"/>
      <c r="D59" s="272"/>
      <c r="E59" s="271"/>
      <c r="F59" s="273"/>
      <c r="G59" s="247"/>
    </row>
    <row r="60" spans="1:7" ht="11.1" customHeight="1" x14ac:dyDescent="0.2">
      <c r="A60" s="247"/>
      <c r="B60" s="261"/>
      <c r="C60" s="262"/>
      <c r="D60" s="263"/>
      <c r="E60" s="262"/>
      <c r="F60" s="264"/>
      <c r="G60" s="247"/>
    </row>
    <row r="61" spans="1:7" ht="11.1" customHeight="1" x14ac:dyDescent="0.2">
      <c r="A61" s="247"/>
      <c r="B61" s="270"/>
      <c r="C61" s="271"/>
      <c r="D61" s="272"/>
      <c r="E61" s="271"/>
      <c r="F61" s="273"/>
      <c r="G61" s="247"/>
    </row>
    <row r="62" spans="1:7" ht="11.1" customHeight="1" x14ac:dyDescent="0.2">
      <c r="A62" s="247"/>
      <c r="B62" s="261"/>
      <c r="C62" s="262"/>
      <c r="D62" s="263"/>
      <c r="E62" s="262"/>
      <c r="F62" s="264"/>
      <c r="G62" s="247"/>
    </row>
    <row r="63" spans="1:7" ht="11.1" customHeight="1" x14ac:dyDescent="0.2">
      <c r="A63" s="247"/>
      <c r="B63" s="270"/>
      <c r="C63" s="271"/>
      <c r="D63" s="272"/>
      <c r="E63" s="271"/>
      <c r="F63" s="273"/>
      <c r="G63" s="247"/>
    </row>
    <row r="64" spans="1:7" ht="11.1" customHeight="1" x14ac:dyDescent="0.2">
      <c r="A64" s="247"/>
      <c r="B64" s="261"/>
      <c r="C64" s="262"/>
      <c r="D64" s="263"/>
      <c r="E64" s="262"/>
      <c r="F64" s="264"/>
      <c r="G64" s="247"/>
    </row>
    <row r="65" spans="1:7" ht="11.1" customHeight="1" x14ac:dyDescent="0.2">
      <c r="A65" s="247"/>
      <c r="B65" s="270"/>
      <c r="C65" s="271"/>
      <c r="D65" s="272"/>
      <c r="E65" s="271"/>
      <c r="F65" s="273"/>
      <c r="G65" s="247"/>
    </row>
    <row r="66" spans="1:7" ht="11.1" customHeight="1" x14ac:dyDescent="0.2">
      <c r="A66" s="247"/>
      <c r="B66" s="261"/>
      <c r="C66" s="262"/>
      <c r="D66" s="263"/>
      <c r="E66" s="262"/>
      <c r="F66" s="264"/>
      <c r="G66" s="247"/>
    </row>
    <row r="67" spans="1:7" ht="11.1" customHeight="1" x14ac:dyDescent="0.2">
      <c r="A67" s="247"/>
      <c r="B67" s="270"/>
      <c r="C67" s="271"/>
      <c r="D67" s="272"/>
      <c r="E67" s="271"/>
      <c r="F67" s="273"/>
      <c r="G67" s="247"/>
    </row>
    <row r="68" spans="1:7" ht="11.1" customHeight="1" x14ac:dyDescent="0.2">
      <c r="A68" s="247"/>
      <c r="B68" s="261"/>
      <c r="C68" s="262"/>
      <c r="D68" s="263"/>
      <c r="E68" s="262"/>
      <c r="F68" s="264"/>
      <c r="G68" s="247"/>
    </row>
    <row r="69" spans="1:7" ht="11.1" customHeight="1" x14ac:dyDescent="0.2">
      <c r="A69" s="247"/>
      <c r="B69" s="270"/>
      <c r="C69" s="271"/>
      <c r="D69" s="272"/>
      <c r="E69" s="271"/>
      <c r="F69" s="273"/>
      <c r="G69" s="247"/>
    </row>
    <row r="70" spans="1:7" ht="11.1" customHeight="1" x14ac:dyDescent="0.2">
      <c r="A70" s="247"/>
      <c r="B70" s="261"/>
      <c r="C70" s="262"/>
      <c r="D70" s="263"/>
      <c r="E70" s="262"/>
      <c r="F70" s="264"/>
      <c r="G70" s="247"/>
    </row>
    <row r="71" spans="1:7" ht="11.1" customHeight="1" x14ac:dyDescent="0.2">
      <c r="A71" s="247"/>
      <c r="B71" s="270"/>
      <c r="C71" s="271"/>
      <c r="D71" s="272"/>
      <c r="E71" s="271"/>
      <c r="F71" s="273"/>
      <c r="G71" s="247"/>
    </row>
    <row r="72" spans="1:7" ht="11.1" customHeight="1" x14ac:dyDescent="0.2">
      <c r="A72" s="247"/>
      <c r="B72" s="261"/>
      <c r="C72" s="262"/>
      <c r="D72" s="263"/>
      <c r="E72" s="262"/>
      <c r="F72" s="264"/>
      <c r="G72" s="247"/>
    </row>
    <row r="73" spans="1:7" ht="11.1" customHeight="1" x14ac:dyDescent="0.2">
      <c r="A73" s="247"/>
      <c r="B73" s="270"/>
      <c r="C73" s="271"/>
      <c r="D73" s="272"/>
      <c r="E73" s="271"/>
      <c r="F73" s="273"/>
      <c r="G73" s="247"/>
    </row>
    <row r="74" spans="1:7" ht="11.1" customHeight="1" x14ac:dyDescent="0.2">
      <c r="A74" s="247"/>
      <c r="B74" s="261"/>
      <c r="C74" s="262"/>
      <c r="D74" s="263"/>
      <c r="E74" s="262"/>
      <c r="F74" s="264"/>
      <c r="G74" s="247"/>
    </row>
    <row r="75" spans="1:7" ht="11.1" customHeight="1" x14ac:dyDescent="0.2">
      <c r="A75" s="247"/>
      <c r="B75" s="270"/>
      <c r="C75" s="271"/>
      <c r="D75" s="272"/>
      <c r="E75" s="271"/>
      <c r="F75" s="273"/>
      <c r="G75" s="247"/>
    </row>
    <row r="76" spans="1:7" ht="11.1" customHeight="1" x14ac:dyDescent="0.2">
      <c r="A76" s="247"/>
      <c r="B76" s="261"/>
      <c r="C76" s="262"/>
      <c r="D76" s="263"/>
      <c r="E76" s="262"/>
      <c r="F76" s="264"/>
      <c r="G76" s="247"/>
    </row>
    <row r="77" spans="1:7" ht="11.1" customHeight="1" x14ac:dyDescent="0.2">
      <c r="A77" s="247"/>
      <c r="B77" s="270"/>
      <c r="C77" s="271"/>
      <c r="D77" s="272"/>
      <c r="E77" s="271"/>
      <c r="F77" s="273"/>
      <c r="G77" s="247"/>
    </row>
    <row r="78" spans="1:7" ht="11.1" customHeight="1" x14ac:dyDescent="0.2">
      <c r="A78" s="247"/>
      <c r="B78" s="261"/>
      <c r="C78" s="262"/>
      <c r="D78" s="263"/>
      <c r="E78" s="262"/>
      <c r="F78" s="264"/>
      <c r="G78" s="247"/>
    </row>
    <row r="79" spans="1:7" ht="11.1" customHeight="1" x14ac:dyDescent="0.2">
      <c r="A79" s="247"/>
      <c r="B79" s="270"/>
      <c r="C79" s="271"/>
      <c r="D79" s="272"/>
      <c r="E79" s="271"/>
      <c r="F79" s="273"/>
      <c r="G79" s="247"/>
    </row>
    <row r="80" spans="1:7" ht="11.1" customHeight="1" x14ac:dyDescent="0.2">
      <c r="A80" s="247"/>
      <c r="B80" s="261"/>
      <c r="C80" s="262"/>
      <c r="D80" s="263"/>
      <c r="E80" s="262"/>
      <c r="F80" s="264"/>
      <c r="G80" s="247"/>
    </row>
    <row r="81" spans="1:7" ht="11.1" customHeight="1" x14ac:dyDescent="0.2">
      <c r="A81" s="247"/>
      <c r="B81" s="270"/>
      <c r="C81" s="271"/>
      <c r="D81" s="272"/>
      <c r="E81" s="271"/>
      <c r="F81" s="273"/>
      <c r="G81" s="247"/>
    </row>
    <row r="82" spans="1:7" ht="11.1" customHeight="1" x14ac:dyDescent="0.2">
      <c r="A82" s="247"/>
      <c r="B82" s="261"/>
      <c r="C82" s="262"/>
      <c r="D82" s="263"/>
      <c r="E82" s="262"/>
      <c r="F82" s="264"/>
      <c r="G82" s="247"/>
    </row>
    <row r="83" spans="1:7" ht="11.1" customHeight="1" x14ac:dyDescent="0.2">
      <c r="A83" s="247"/>
      <c r="B83" s="270"/>
      <c r="C83" s="271"/>
      <c r="D83" s="272"/>
      <c r="E83" s="271"/>
      <c r="F83" s="273"/>
      <c r="G83" s="247"/>
    </row>
    <row r="84" spans="1:7" ht="11.1" customHeight="1" x14ac:dyDescent="0.2">
      <c r="A84" s="247"/>
      <c r="B84" s="261"/>
      <c r="C84" s="262"/>
      <c r="D84" s="263"/>
      <c r="E84" s="262"/>
      <c r="F84" s="264"/>
      <c r="G84" s="247"/>
    </row>
    <row r="85" spans="1:7" ht="11.1" customHeight="1" x14ac:dyDescent="0.2">
      <c r="A85" s="247"/>
      <c r="B85" s="270"/>
      <c r="C85" s="271"/>
      <c r="D85" s="272"/>
      <c r="E85" s="271"/>
      <c r="F85" s="273"/>
      <c r="G85" s="247"/>
    </row>
    <row r="86" spans="1:7" ht="11.1" customHeight="1" x14ac:dyDescent="0.2">
      <c r="A86" s="247"/>
      <c r="B86" s="261"/>
      <c r="C86" s="262"/>
      <c r="D86" s="263"/>
      <c r="E86" s="262"/>
      <c r="F86" s="264"/>
      <c r="G86" s="247"/>
    </row>
    <row r="87" spans="1:7" ht="11.1" customHeight="1" x14ac:dyDescent="0.2">
      <c r="A87" s="247"/>
      <c r="B87" s="270"/>
      <c r="C87" s="271"/>
      <c r="D87" s="272"/>
      <c r="E87" s="271"/>
      <c r="F87" s="273"/>
      <c r="G87" s="247"/>
    </row>
    <row r="88" spans="1:7" ht="11.1" customHeight="1" x14ac:dyDescent="0.2">
      <c r="A88" s="247"/>
      <c r="B88" s="261"/>
      <c r="C88" s="262"/>
      <c r="D88" s="263"/>
      <c r="E88" s="262"/>
      <c r="F88" s="264"/>
      <c r="G88" s="247"/>
    </row>
    <row r="89" spans="1:7" ht="11.1" customHeight="1" x14ac:dyDescent="0.2">
      <c r="A89" s="247"/>
      <c r="B89" s="270"/>
      <c r="C89" s="271"/>
      <c r="D89" s="272"/>
      <c r="E89" s="271"/>
      <c r="F89" s="273"/>
      <c r="G89" s="247"/>
    </row>
    <row r="90" spans="1:7" ht="11.1" customHeight="1" x14ac:dyDescent="0.2">
      <c r="A90" s="247"/>
      <c r="B90" s="261"/>
      <c r="C90" s="262"/>
      <c r="D90" s="263"/>
      <c r="E90" s="262"/>
      <c r="F90" s="264"/>
      <c r="G90" s="247"/>
    </row>
    <row r="91" spans="1:7" ht="11.1" customHeight="1" x14ac:dyDescent="0.2">
      <c r="A91" s="247"/>
      <c r="B91" s="270"/>
      <c r="C91" s="271"/>
      <c r="D91" s="272"/>
      <c r="E91" s="271"/>
      <c r="F91" s="273"/>
      <c r="G91" s="247"/>
    </row>
    <row r="92" spans="1:7" ht="11.1" customHeight="1" x14ac:dyDescent="0.2">
      <c r="A92" s="247"/>
      <c r="B92" s="261"/>
      <c r="C92" s="262"/>
      <c r="D92" s="263"/>
      <c r="E92" s="262"/>
      <c r="F92" s="264"/>
      <c r="G92" s="247"/>
    </row>
    <row r="93" spans="1:7" ht="11.1" customHeight="1" x14ac:dyDescent="0.2">
      <c r="A93" s="247"/>
      <c r="B93" s="270"/>
      <c r="C93" s="271"/>
      <c r="D93" s="272"/>
      <c r="E93" s="271"/>
      <c r="F93" s="273"/>
      <c r="G93" s="247"/>
    </row>
    <row r="94" spans="1:7" ht="11.1" customHeight="1" x14ac:dyDescent="0.2">
      <c r="A94" s="247"/>
      <c r="B94" s="261"/>
      <c r="C94" s="262"/>
      <c r="D94" s="263"/>
      <c r="E94" s="262"/>
      <c r="F94" s="264"/>
      <c r="G94" s="247"/>
    </row>
    <row r="95" spans="1:7" ht="11.1" customHeight="1" x14ac:dyDescent="0.2">
      <c r="A95" s="247"/>
      <c r="B95" s="270"/>
      <c r="C95" s="271"/>
      <c r="D95" s="272"/>
      <c r="E95" s="271"/>
      <c r="F95" s="273"/>
      <c r="G95" s="247"/>
    </row>
    <row r="96" spans="1:7" ht="11.1" customHeight="1" x14ac:dyDescent="0.2">
      <c r="A96" s="247"/>
      <c r="B96" s="261"/>
      <c r="C96" s="262"/>
      <c r="D96" s="263"/>
      <c r="E96" s="262"/>
      <c r="F96" s="264"/>
      <c r="G96" s="247"/>
    </row>
    <row r="97" spans="1:7" ht="11.1" customHeight="1" x14ac:dyDescent="0.2">
      <c r="A97" s="247"/>
      <c r="B97" s="270"/>
      <c r="C97" s="271"/>
      <c r="D97" s="272"/>
      <c r="E97" s="271"/>
      <c r="F97" s="273"/>
      <c r="G97" s="247"/>
    </row>
    <row r="98" spans="1:7" ht="11.1" customHeight="1" x14ac:dyDescent="0.2">
      <c r="A98" s="247"/>
      <c r="B98" s="261"/>
      <c r="C98" s="262"/>
      <c r="D98" s="263"/>
      <c r="E98" s="262"/>
      <c r="F98" s="264"/>
      <c r="G98" s="247"/>
    </row>
    <row r="99" spans="1:7" ht="11.1" customHeight="1" x14ac:dyDescent="0.2">
      <c r="A99" s="247"/>
      <c r="B99" s="270"/>
      <c r="C99" s="271"/>
      <c r="D99" s="272"/>
      <c r="E99" s="271"/>
      <c r="F99" s="273"/>
      <c r="G99" s="247"/>
    </row>
    <row r="100" spans="1:7" ht="11.1" customHeight="1" x14ac:dyDescent="0.2">
      <c r="A100" s="247"/>
      <c r="B100" s="261"/>
      <c r="C100" s="262"/>
      <c r="D100" s="263"/>
      <c r="E100" s="262"/>
      <c r="F100" s="264"/>
      <c r="G100" s="247"/>
    </row>
    <row r="101" spans="1:7" ht="11.1" customHeight="1" x14ac:dyDescent="0.2">
      <c r="A101" s="247"/>
      <c r="B101" s="270"/>
      <c r="C101" s="271"/>
      <c r="D101" s="272"/>
      <c r="E101" s="271"/>
      <c r="F101" s="273"/>
      <c r="G101" s="247"/>
    </row>
    <row r="102" spans="1:7" ht="11.1" customHeight="1" x14ac:dyDescent="0.2">
      <c r="A102" s="247"/>
      <c r="B102" s="261"/>
      <c r="C102" s="262"/>
      <c r="D102" s="263"/>
      <c r="E102" s="262"/>
      <c r="F102" s="264"/>
      <c r="G102" s="247"/>
    </row>
    <row r="103" spans="1:7" ht="11.1" customHeight="1" x14ac:dyDescent="0.2">
      <c r="A103" s="247"/>
      <c r="B103" s="270"/>
      <c r="C103" s="271"/>
      <c r="D103" s="272"/>
      <c r="E103" s="271"/>
      <c r="F103" s="273"/>
      <c r="G103" s="247"/>
    </row>
    <row r="104" spans="1:7" ht="11.1" customHeight="1" x14ac:dyDescent="0.2">
      <c r="A104" s="247"/>
      <c r="B104" s="261"/>
      <c r="C104" s="262"/>
      <c r="D104" s="263"/>
      <c r="E104" s="262"/>
      <c r="F104" s="264"/>
      <c r="G104" s="247"/>
    </row>
    <row r="105" spans="1:7" ht="11.1" customHeight="1" x14ac:dyDescent="0.2">
      <c r="A105" s="247"/>
      <c r="B105" s="270"/>
      <c r="C105" s="271"/>
      <c r="D105" s="272"/>
      <c r="E105" s="271"/>
      <c r="F105" s="273"/>
      <c r="G105" s="247"/>
    </row>
    <row r="106" spans="1:7" ht="11.1" customHeight="1" x14ac:dyDescent="0.2">
      <c r="A106" s="247"/>
      <c r="B106" s="261"/>
      <c r="C106" s="262"/>
      <c r="D106" s="263"/>
      <c r="E106" s="262"/>
      <c r="F106" s="264"/>
      <c r="G106" s="247"/>
    </row>
    <row r="107" spans="1:7" ht="11.1" customHeight="1" x14ac:dyDescent="0.2">
      <c r="A107" s="247"/>
      <c r="B107" s="270"/>
      <c r="C107" s="271"/>
      <c r="D107" s="272"/>
      <c r="E107" s="271"/>
      <c r="F107" s="273"/>
      <c r="G107" s="247"/>
    </row>
    <row r="108" spans="1:7" ht="11.1" customHeight="1" x14ac:dyDescent="0.2">
      <c r="A108" s="247"/>
      <c r="B108" s="261"/>
      <c r="C108" s="262"/>
      <c r="D108" s="263"/>
      <c r="E108" s="262"/>
      <c r="F108" s="264"/>
      <c r="G108" s="247"/>
    </row>
    <row r="109" spans="1:7" ht="11.1" customHeight="1" x14ac:dyDescent="0.2">
      <c r="A109" s="247"/>
      <c r="B109" s="270"/>
      <c r="C109" s="271"/>
      <c r="D109" s="272"/>
      <c r="E109" s="271"/>
      <c r="F109" s="273"/>
      <c r="G109" s="247"/>
    </row>
    <row r="110" spans="1:7" ht="11.1" customHeight="1" x14ac:dyDescent="0.2">
      <c r="A110" s="247"/>
      <c r="B110" s="261"/>
      <c r="C110" s="262"/>
      <c r="D110" s="263"/>
      <c r="E110" s="262"/>
      <c r="F110" s="264"/>
      <c r="G110" s="247"/>
    </row>
    <row r="111" spans="1:7" ht="11.1" customHeight="1" x14ac:dyDescent="0.2">
      <c r="A111" s="247"/>
      <c r="B111" s="270"/>
      <c r="C111" s="271"/>
      <c r="D111" s="272"/>
      <c r="E111" s="271"/>
      <c r="F111" s="273"/>
      <c r="G111" s="247"/>
    </row>
    <row r="112" spans="1:7" ht="11.1" customHeight="1" x14ac:dyDescent="0.2">
      <c r="A112" s="247"/>
      <c r="B112" s="261"/>
      <c r="C112" s="262"/>
      <c r="D112" s="263"/>
      <c r="E112" s="262"/>
      <c r="F112" s="264"/>
      <c r="G112" s="247"/>
    </row>
    <row r="113" spans="1:7" ht="11.1" customHeight="1" x14ac:dyDescent="0.2">
      <c r="A113" s="247"/>
      <c r="B113" s="270"/>
      <c r="C113" s="271"/>
      <c r="D113" s="272"/>
      <c r="E113" s="271"/>
      <c r="F113" s="273"/>
      <c r="G113" s="247"/>
    </row>
    <row r="114" spans="1:7" ht="11.1" customHeight="1" x14ac:dyDescent="0.2">
      <c r="A114" s="247"/>
      <c r="B114" s="261"/>
      <c r="C114" s="262"/>
      <c r="D114" s="263"/>
      <c r="E114" s="262"/>
      <c r="F114" s="264"/>
      <c r="G114" s="247"/>
    </row>
    <row r="115" spans="1:7" ht="11.1" customHeight="1" x14ac:dyDescent="0.2">
      <c r="A115" s="247"/>
      <c r="B115" s="270"/>
      <c r="C115" s="271"/>
      <c r="D115" s="272"/>
      <c r="E115" s="271"/>
      <c r="F115" s="273"/>
      <c r="G115" s="247"/>
    </row>
    <row r="116" spans="1:7" ht="11.1" customHeight="1" x14ac:dyDescent="0.2">
      <c r="A116" s="247"/>
      <c r="B116" s="261"/>
      <c r="C116" s="262"/>
      <c r="D116" s="263"/>
      <c r="E116" s="262"/>
      <c r="F116" s="264"/>
      <c r="G116" s="247"/>
    </row>
    <row r="117" spans="1:7" ht="11.1" customHeight="1" x14ac:dyDescent="0.2">
      <c r="A117" s="247"/>
      <c r="B117" s="270"/>
      <c r="C117" s="271"/>
      <c r="D117" s="272"/>
      <c r="E117" s="271"/>
      <c r="F117" s="273"/>
      <c r="G117" s="247"/>
    </row>
    <row r="118" spans="1:7" ht="11.1" customHeight="1" x14ac:dyDescent="0.2">
      <c r="A118" s="247"/>
      <c r="B118" s="261"/>
      <c r="C118" s="262"/>
      <c r="D118" s="263"/>
      <c r="E118" s="262"/>
      <c r="F118" s="264"/>
      <c r="G118" s="247"/>
    </row>
    <row r="119" spans="1:7" ht="11.1" customHeight="1" x14ac:dyDescent="0.2">
      <c r="A119" s="247"/>
      <c r="B119" s="270"/>
      <c r="C119" s="271"/>
      <c r="D119" s="272"/>
      <c r="E119" s="271"/>
      <c r="F119" s="273"/>
      <c r="G119" s="247"/>
    </row>
    <row r="120" spans="1:7" ht="11.1" customHeight="1" x14ac:dyDescent="0.2">
      <c r="A120" s="247"/>
      <c r="B120" s="261"/>
      <c r="C120" s="262"/>
      <c r="D120" s="263"/>
      <c r="E120" s="262"/>
      <c r="F120" s="264"/>
      <c r="G120" s="247"/>
    </row>
    <row r="121" spans="1:7" ht="11.1" customHeight="1" x14ac:dyDescent="0.2">
      <c r="A121" s="247"/>
      <c r="B121" s="270"/>
      <c r="C121" s="271"/>
      <c r="D121" s="272"/>
      <c r="E121" s="271"/>
      <c r="F121" s="273"/>
      <c r="G121" s="247"/>
    </row>
    <row r="122" spans="1:7" ht="11.1" customHeight="1" x14ac:dyDescent="0.2">
      <c r="A122" s="247"/>
      <c r="B122" s="261"/>
      <c r="C122" s="262"/>
      <c r="D122" s="263"/>
      <c r="E122" s="262"/>
      <c r="F122" s="264"/>
      <c r="G122" s="247"/>
    </row>
    <row r="123" spans="1:7" ht="11.1" customHeight="1" x14ac:dyDescent="0.2">
      <c r="A123" s="247"/>
      <c r="B123" s="270"/>
      <c r="C123" s="271"/>
      <c r="D123" s="272"/>
      <c r="E123" s="271"/>
      <c r="F123" s="273"/>
      <c r="G123" s="247"/>
    </row>
    <row r="124" spans="1:7" ht="11.1" customHeight="1" x14ac:dyDescent="0.2">
      <c r="A124" s="247"/>
      <c r="B124" s="261"/>
      <c r="C124" s="262"/>
      <c r="D124" s="263"/>
      <c r="E124" s="262"/>
      <c r="F124" s="264"/>
      <c r="G124" s="247"/>
    </row>
    <row r="125" spans="1:7" ht="11.1" customHeight="1" x14ac:dyDescent="0.2">
      <c r="A125" s="247"/>
      <c r="B125" s="270"/>
      <c r="C125" s="271"/>
      <c r="D125" s="272"/>
      <c r="E125" s="271"/>
      <c r="F125" s="273"/>
      <c r="G125" s="247"/>
    </row>
    <row r="126" spans="1:7" ht="11.1" customHeight="1" x14ac:dyDescent="0.2">
      <c r="A126" s="247"/>
      <c r="B126" s="261"/>
      <c r="C126" s="262"/>
      <c r="D126" s="263"/>
      <c r="E126" s="262"/>
      <c r="F126" s="264"/>
      <c r="G126" s="247"/>
    </row>
    <row r="127" spans="1:7" ht="11.1" customHeight="1" x14ac:dyDescent="0.2">
      <c r="A127" s="247"/>
      <c r="B127" s="270"/>
      <c r="C127" s="271"/>
      <c r="D127" s="272"/>
      <c r="E127" s="271"/>
      <c r="F127" s="273"/>
      <c r="G127" s="247"/>
    </row>
    <row r="128" spans="1:7" ht="11.1" customHeight="1" x14ac:dyDescent="0.2">
      <c r="A128" s="247"/>
      <c r="B128" s="261"/>
      <c r="C128" s="262"/>
      <c r="D128" s="263"/>
      <c r="E128" s="262"/>
      <c r="F128" s="264"/>
      <c r="G128" s="247"/>
    </row>
    <row r="129" spans="1:8" ht="11.1" customHeight="1" x14ac:dyDescent="0.2">
      <c r="A129" s="247"/>
      <c r="B129" s="270"/>
      <c r="C129" s="271"/>
      <c r="D129" s="272"/>
      <c r="E129" s="271"/>
      <c r="F129" s="273"/>
      <c r="G129" s="247"/>
    </row>
    <row r="130" spans="1:8" ht="11.1" customHeight="1" x14ac:dyDescent="0.2">
      <c r="A130" s="247"/>
      <c r="B130" s="261"/>
      <c r="C130" s="262"/>
      <c r="D130" s="263"/>
      <c r="E130" s="262"/>
      <c r="F130" s="264"/>
      <c r="G130" s="247"/>
    </row>
    <row r="131" spans="1:8" ht="11.1" customHeight="1" x14ac:dyDescent="0.2">
      <c r="A131" s="247"/>
      <c r="B131" s="270"/>
      <c r="C131" s="271"/>
      <c r="D131" s="272"/>
      <c r="E131" s="271"/>
      <c r="F131" s="273"/>
      <c r="G131" s="247"/>
    </row>
    <row r="132" spans="1:8" ht="11.1" customHeight="1" x14ac:dyDescent="0.2">
      <c r="A132" s="247"/>
      <c r="B132" s="261"/>
      <c r="C132" s="262"/>
      <c r="D132" s="263"/>
      <c r="E132" s="262"/>
      <c r="F132" s="264"/>
      <c r="G132" s="247"/>
      <c r="H132" s="258"/>
    </row>
    <row r="133" spans="1:8" ht="11.1" customHeight="1" x14ac:dyDescent="0.2">
      <c r="A133" s="247"/>
      <c r="B133" s="270"/>
      <c r="C133" s="271"/>
      <c r="D133" s="272"/>
      <c r="E133" s="271"/>
      <c r="F133" s="273"/>
      <c r="G133" s="247"/>
      <c r="H133" s="258"/>
    </row>
    <row r="134" spans="1:8" ht="11.1" customHeight="1" x14ac:dyDescent="0.2">
      <c r="A134" s="247"/>
      <c r="B134" s="261"/>
      <c r="C134" s="262"/>
      <c r="D134" s="263"/>
      <c r="E134" s="262"/>
      <c r="F134" s="264"/>
      <c r="G134" s="247"/>
      <c r="H134" s="258"/>
    </row>
    <row r="135" spans="1:8" ht="11.1" customHeight="1" x14ac:dyDescent="0.2">
      <c r="A135" s="247"/>
      <c r="B135" s="270"/>
      <c r="C135" s="271"/>
      <c r="D135" s="272"/>
      <c r="E135" s="271"/>
      <c r="F135" s="273"/>
      <c r="G135" s="247"/>
      <c r="H135" s="258"/>
    </row>
    <row r="136" spans="1:8" ht="11.1" customHeight="1" x14ac:dyDescent="0.2">
      <c r="A136" s="247"/>
      <c r="B136" s="261"/>
      <c r="C136" s="262"/>
      <c r="D136" s="263"/>
      <c r="E136" s="262"/>
      <c r="F136" s="264"/>
      <c r="G136" s="247"/>
      <c r="H136" s="258"/>
    </row>
    <row r="137" spans="1:8" ht="11.1" customHeight="1" x14ac:dyDescent="0.2">
      <c r="A137" s="247"/>
      <c r="B137" s="270"/>
      <c r="C137" s="271"/>
      <c r="D137" s="272"/>
      <c r="E137" s="271"/>
      <c r="F137" s="273"/>
      <c r="G137" s="247"/>
      <c r="H137" s="258"/>
    </row>
    <row r="138" spans="1:8" ht="11.1" customHeight="1" x14ac:dyDescent="0.2">
      <c r="A138" s="247"/>
      <c r="B138" s="261"/>
      <c r="C138" s="262"/>
      <c r="D138" s="263"/>
      <c r="E138" s="262"/>
      <c r="F138" s="264"/>
      <c r="G138" s="247"/>
      <c r="H138" s="258"/>
    </row>
    <row r="139" spans="1:8" ht="11.1" customHeight="1" x14ac:dyDescent="0.2">
      <c r="A139" s="247"/>
      <c r="B139" s="270"/>
      <c r="C139" s="271"/>
      <c r="D139" s="272"/>
      <c r="E139" s="271"/>
      <c r="F139" s="273"/>
      <c r="G139" s="247"/>
      <c r="H139" s="258"/>
    </row>
    <row r="140" spans="1:8" ht="11.1" customHeight="1" x14ac:dyDescent="0.2">
      <c r="A140" s="247"/>
      <c r="B140" s="261"/>
      <c r="C140" s="262"/>
      <c r="D140" s="263"/>
      <c r="E140" s="262"/>
      <c r="F140" s="264"/>
      <c r="G140" s="247"/>
      <c r="H140" s="258"/>
    </row>
    <row r="141" spans="1:8" ht="11.1" customHeight="1" x14ac:dyDescent="0.2">
      <c r="A141" s="247"/>
      <c r="B141" s="270"/>
      <c r="C141" s="271"/>
      <c r="D141" s="272"/>
      <c r="E141" s="271"/>
      <c r="F141" s="273"/>
      <c r="G141" s="247"/>
      <c r="H141" s="258"/>
    </row>
    <row r="142" spans="1:8" ht="11.1" customHeight="1" x14ac:dyDescent="0.2">
      <c r="A142" s="247"/>
      <c r="B142" s="261"/>
      <c r="C142" s="262"/>
      <c r="D142" s="263"/>
      <c r="E142" s="262"/>
      <c r="F142" s="264"/>
      <c r="G142" s="247"/>
      <c r="H142" s="258"/>
    </row>
    <row r="143" spans="1:8" ht="11.1" customHeight="1" x14ac:dyDescent="0.2">
      <c r="A143" s="247"/>
      <c r="B143" s="270"/>
      <c r="C143" s="271"/>
      <c r="D143" s="272"/>
      <c r="E143" s="271"/>
      <c r="F143" s="273"/>
      <c r="G143" s="247"/>
      <c r="H143" s="258"/>
    </row>
    <row r="144" spans="1:8" ht="11.1" customHeight="1" x14ac:dyDescent="0.2">
      <c r="A144" s="247"/>
      <c r="B144" s="261"/>
      <c r="C144" s="262"/>
      <c r="D144" s="263"/>
      <c r="E144" s="262"/>
      <c r="F144" s="264"/>
      <c r="G144" s="247"/>
      <c r="H144" s="258"/>
    </row>
    <row r="145" spans="1:8" ht="11.1" customHeight="1" x14ac:dyDescent="0.2">
      <c r="A145" s="247"/>
      <c r="B145" s="270"/>
      <c r="C145" s="271"/>
      <c r="D145" s="272"/>
      <c r="E145" s="271"/>
      <c r="F145" s="273"/>
      <c r="G145" s="247"/>
      <c r="H145" s="258"/>
    </row>
    <row r="146" spans="1:8" ht="11.1" customHeight="1" x14ac:dyDescent="0.2">
      <c r="A146" s="247"/>
      <c r="B146" s="261"/>
      <c r="C146" s="262"/>
      <c r="D146" s="263"/>
      <c r="E146" s="262"/>
      <c r="F146" s="264"/>
      <c r="G146" s="247"/>
      <c r="H146" s="258"/>
    </row>
    <row r="147" spans="1:8" ht="11.1" customHeight="1" x14ac:dyDescent="0.2">
      <c r="A147" s="247"/>
      <c r="B147" s="270"/>
      <c r="C147" s="271"/>
      <c r="D147" s="272"/>
      <c r="E147" s="271"/>
      <c r="F147" s="273"/>
      <c r="G147" s="247"/>
      <c r="H147" s="258"/>
    </row>
    <row r="148" spans="1:8" ht="11.1" customHeight="1" x14ac:dyDescent="0.2">
      <c r="A148" s="247"/>
      <c r="B148" s="261"/>
      <c r="C148" s="262"/>
      <c r="D148" s="263"/>
      <c r="E148" s="262"/>
      <c r="F148" s="264"/>
      <c r="G148" s="247"/>
      <c r="H148" s="258"/>
    </row>
    <row r="149" spans="1:8" ht="11.1" customHeight="1" x14ac:dyDescent="0.2">
      <c r="A149" s="247"/>
      <c r="B149" s="270"/>
      <c r="C149" s="271"/>
      <c r="D149" s="272"/>
      <c r="E149" s="271"/>
      <c r="F149" s="273"/>
      <c r="G149" s="247"/>
      <c r="H149" s="258"/>
    </row>
    <row r="150" spans="1:8" ht="11.1" customHeight="1" x14ac:dyDescent="0.2">
      <c r="A150" s="247"/>
      <c r="B150" s="261"/>
      <c r="C150" s="262"/>
      <c r="D150" s="263"/>
      <c r="E150" s="262"/>
      <c r="F150" s="264"/>
      <c r="G150" s="247"/>
      <c r="H150" s="258"/>
    </row>
    <row r="151" spans="1:8" ht="11.1" customHeight="1" x14ac:dyDescent="0.2">
      <c r="A151" s="247"/>
      <c r="B151" s="270"/>
      <c r="C151" s="271"/>
      <c r="D151" s="272"/>
      <c r="E151" s="271"/>
      <c r="F151" s="273"/>
      <c r="G151" s="247"/>
      <c r="H151" s="258"/>
    </row>
    <row r="152" spans="1:8" ht="11.1" customHeight="1" x14ac:dyDescent="0.2">
      <c r="A152" s="247"/>
      <c r="B152" s="261"/>
      <c r="C152" s="262"/>
      <c r="D152" s="263"/>
      <c r="E152" s="262"/>
      <c r="F152" s="264"/>
      <c r="G152" s="247"/>
      <c r="H152" s="258"/>
    </row>
    <row r="153" spans="1:8" ht="11.1" customHeight="1" x14ac:dyDescent="0.2">
      <c r="A153" s="247"/>
      <c r="B153" s="270"/>
      <c r="C153" s="271"/>
      <c r="D153" s="272"/>
      <c r="E153" s="271"/>
      <c r="F153" s="273"/>
      <c r="G153" s="247"/>
      <c r="H153" s="258"/>
    </row>
    <row r="154" spans="1:8" ht="11.1" customHeight="1" x14ac:dyDescent="0.2">
      <c r="A154" s="247"/>
      <c r="B154" s="261"/>
      <c r="C154" s="262"/>
      <c r="D154" s="263"/>
      <c r="E154" s="262"/>
      <c r="F154" s="264"/>
      <c r="G154" s="247"/>
      <c r="H154" s="258"/>
    </row>
    <row r="155" spans="1:8" ht="11.1" customHeight="1" x14ac:dyDescent="0.2">
      <c r="A155" s="247"/>
      <c r="B155" s="270"/>
      <c r="C155" s="271"/>
      <c r="D155" s="272"/>
      <c r="E155" s="271"/>
      <c r="F155" s="273"/>
      <c r="G155" s="247"/>
      <c r="H155" s="258"/>
    </row>
    <row r="156" spans="1:8" ht="11.1" customHeight="1" x14ac:dyDescent="0.2">
      <c r="A156" s="247"/>
      <c r="B156" s="261"/>
      <c r="C156" s="262"/>
      <c r="D156" s="263"/>
      <c r="E156" s="262"/>
      <c r="F156" s="264"/>
      <c r="G156" s="247"/>
      <c r="H156" s="258"/>
    </row>
    <row r="157" spans="1:8" ht="11.1" customHeight="1" x14ac:dyDescent="0.2">
      <c r="A157" s="247"/>
      <c r="B157" s="270"/>
      <c r="C157" s="271"/>
      <c r="D157" s="272"/>
      <c r="E157" s="271"/>
      <c r="F157" s="273"/>
      <c r="G157" s="247"/>
      <c r="H157" s="258"/>
    </row>
    <row r="158" spans="1:8" ht="11.1" customHeight="1" x14ac:dyDescent="0.2">
      <c r="A158" s="247"/>
      <c r="B158" s="261"/>
      <c r="C158" s="262"/>
      <c r="D158" s="263"/>
      <c r="E158" s="262"/>
      <c r="F158" s="264"/>
      <c r="G158" s="247"/>
      <c r="H158" s="258"/>
    </row>
    <row r="159" spans="1:8" ht="11.1" customHeight="1" x14ac:dyDescent="0.2">
      <c r="A159" s="247"/>
      <c r="B159" s="270"/>
      <c r="C159" s="271"/>
      <c r="D159" s="272"/>
      <c r="E159" s="271"/>
      <c r="F159" s="273"/>
      <c r="G159" s="247"/>
      <c r="H159" s="258"/>
    </row>
    <row r="160" spans="1:8" ht="11.1" customHeight="1" x14ac:dyDescent="0.2">
      <c r="A160" s="247"/>
      <c r="B160" s="261"/>
      <c r="C160" s="262"/>
      <c r="D160" s="263"/>
      <c r="E160" s="262"/>
      <c r="F160" s="264"/>
      <c r="G160" s="247"/>
      <c r="H160" s="258"/>
    </row>
    <row r="161" spans="1:8" ht="11.1" customHeight="1" x14ac:dyDescent="0.2">
      <c r="A161" s="247"/>
      <c r="B161" s="270"/>
      <c r="C161" s="271"/>
      <c r="D161" s="272"/>
      <c r="E161" s="271"/>
      <c r="F161" s="273"/>
      <c r="G161" s="247"/>
      <c r="H161" s="258"/>
    </row>
    <row r="162" spans="1:8" ht="11.1" customHeight="1" x14ac:dyDescent="0.2">
      <c r="A162" s="247"/>
      <c r="B162" s="261"/>
      <c r="C162" s="262"/>
      <c r="D162" s="263"/>
      <c r="E162" s="262"/>
      <c r="F162" s="264"/>
      <c r="G162" s="247"/>
      <c r="H162" s="258"/>
    </row>
    <row r="163" spans="1:8" ht="11.1" customHeight="1" x14ac:dyDescent="0.2">
      <c r="A163" s="247"/>
      <c r="B163" s="270"/>
      <c r="C163" s="271"/>
      <c r="D163" s="272"/>
      <c r="E163" s="271"/>
      <c r="F163" s="273"/>
      <c r="G163" s="247"/>
      <c r="H163" s="258"/>
    </row>
    <row r="164" spans="1:8" ht="11.1" customHeight="1" x14ac:dyDescent="0.2">
      <c r="A164" s="247"/>
      <c r="B164" s="261"/>
      <c r="C164" s="262"/>
      <c r="D164" s="263"/>
      <c r="E164" s="262"/>
      <c r="F164" s="264"/>
      <c r="G164" s="247"/>
      <c r="H164" s="258"/>
    </row>
    <row r="165" spans="1:8" ht="11.1" customHeight="1" x14ac:dyDescent="0.2">
      <c r="A165" s="247"/>
      <c r="B165" s="270"/>
      <c r="C165" s="271"/>
      <c r="D165" s="272"/>
      <c r="E165" s="271"/>
      <c r="F165" s="273"/>
      <c r="G165" s="247"/>
      <c r="H165" s="258"/>
    </row>
    <row r="166" spans="1:8" ht="11.1" customHeight="1" x14ac:dyDescent="0.2">
      <c r="A166" s="247"/>
      <c r="B166" s="261"/>
      <c r="C166" s="262"/>
      <c r="D166" s="263"/>
      <c r="E166" s="262"/>
      <c r="F166" s="264"/>
      <c r="G166" s="247"/>
      <c r="H166" s="258"/>
    </row>
    <row r="167" spans="1:8" ht="11.1" customHeight="1" x14ac:dyDescent="0.2">
      <c r="A167" s="247"/>
      <c r="B167" s="270"/>
      <c r="C167" s="271"/>
      <c r="D167" s="272"/>
      <c r="E167" s="271"/>
      <c r="F167" s="273"/>
      <c r="G167" s="247"/>
      <c r="H167" s="258"/>
    </row>
    <row r="168" spans="1:8" ht="11.1" customHeight="1" x14ac:dyDescent="0.2">
      <c r="A168" s="247"/>
      <c r="B168" s="261"/>
      <c r="C168" s="262"/>
      <c r="D168" s="263"/>
      <c r="E168" s="262"/>
      <c r="F168" s="264"/>
      <c r="G168" s="247"/>
      <c r="H168" s="258"/>
    </row>
    <row r="169" spans="1:8" ht="11.1" customHeight="1" x14ac:dyDescent="0.2">
      <c r="A169" s="247"/>
      <c r="B169" s="270"/>
      <c r="C169" s="271"/>
      <c r="D169" s="272"/>
      <c r="E169" s="271"/>
      <c r="F169" s="273"/>
      <c r="G169" s="247"/>
      <c r="H169" s="258"/>
    </row>
    <row r="170" spans="1:8" ht="11.1" customHeight="1" x14ac:dyDescent="0.2">
      <c r="A170" s="247"/>
      <c r="B170" s="261"/>
      <c r="C170" s="262"/>
      <c r="D170" s="263"/>
      <c r="E170" s="262"/>
      <c r="F170" s="264"/>
      <c r="G170" s="247"/>
      <c r="H170" s="258"/>
    </row>
    <row r="171" spans="1:8" ht="11.1" customHeight="1" x14ac:dyDescent="0.2">
      <c r="A171" s="247"/>
      <c r="B171" s="270"/>
      <c r="C171" s="271"/>
      <c r="D171" s="272"/>
      <c r="E171" s="271"/>
      <c r="F171" s="273"/>
      <c r="G171" s="247"/>
      <c r="H171" s="258"/>
    </row>
    <row r="172" spans="1:8" ht="11.1" customHeight="1" x14ac:dyDescent="0.2">
      <c r="A172" s="247"/>
      <c r="B172" s="261"/>
      <c r="C172" s="262"/>
      <c r="D172" s="263"/>
      <c r="E172" s="262"/>
      <c r="F172" s="264"/>
      <c r="G172" s="247"/>
      <c r="H172" s="258"/>
    </row>
    <row r="173" spans="1:8" ht="11.1" customHeight="1" x14ac:dyDescent="0.2">
      <c r="A173" s="247"/>
      <c r="B173" s="270"/>
      <c r="C173" s="271"/>
      <c r="D173" s="272"/>
      <c r="E173" s="271"/>
      <c r="F173" s="273"/>
      <c r="G173" s="247"/>
      <c r="H173" s="258"/>
    </row>
    <row r="174" spans="1:8" ht="11.1" customHeight="1" x14ac:dyDescent="0.2">
      <c r="A174" s="247"/>
      <c r="B174" s="261"/>
      <c r="C174" s="262"/>
      <c r="D174" s="263"/>
      <c r="E174" s="262"/>
      <c r="F174" s="264"/>
      <c r="G174" s="247"/>
      <c r="H174" s="258"/>
    </row>
    <row r="175" spans="1:8" ht="11.1" customHeight="1" x14ac:dyDescent="0.2">
      <c r="A175" s="247"/>
      <c r="B175" s="270"/>
      <c r="C175" s="271"/>
      <c r="D175" s="272"/>
      <c r="E175" s="271"/>
      <c r="F175" s="273"/>
      <c r="G175" s="247"/>
      <c r="H175" s="258"/>
    </row>
    <row r="176" spans="1:8" ht="11.1" customHeight="1" x14ac:dyDescent="0.2">
      <c r="A176" s="247"/>
      <c r="B176" s="261"/>
      <c r="C176" s="262"/>
      <c r="D176" s="263"/>
      <c r="E176" s="262"/>
      <c r="F176" s="264"/>
      <c r="G176" s="247"/>
      <c r="H176" s="258"/>
    </row>
    <row r="177" spans="1:8" ht="11.1" customHeight="1" x14ac:dyDescent="0.2">
      <c r="A177" s="247"/>
      <c r="B177" s="270"/>
      <c r="C177" s="271"/>
      <c r="D177" s="272"/>
      <c r="E177" s="271"/>
      <c r="F177" s="273"/>
      <c r="G177" s="247"/>
      <c r="H177" s="258"/>
    </row>
    <row r="178" spans="1:8" ht="11.1" customHeight="1" x14ac:dyDescent="0.2">
      <c r="A178" s="247"/>
      <c r="B178" s="261"/>
      <c r="C178" s="262"/>
      <c r="D178" s="263"/>
      <c r="E178" s="262"/>
      <c r="F178" s="264"/>
      <c r="G178" s="247"/>
      <c r="H178" s="258"/>
    </row>
    <row r="179" spans="1:8" ht="11.1" customHeight="1" x14ac:dyDescent="0.2">
      <c r="A179" s="247"/>
      <c r="B179" s="270"/>
      <c r="C179" s="271"/>
      <c r="D179" s="272"/>
      <c r="E179" s="271"/>
      <c r="F179" s="273"/>
      <c r="G179" s="247"/>
      <c r="H179" s="258"/>
    </row>
    <row r="180" spans="1:8" ht="11.1" customHeight="1" x14ac:dyDescent="0.2">
      <c r="A180" s="247"/>
      <c r="B180" s="261"/>
      <c r="C180" s="262"/>
      <c r="D180" s="263"/>
      <c r="E180" s="262"/>
      <c r="F180" s="264"/>
      <c r="G180" s="247"/>
      <c r="H180" s="258"/>
    </row>
    <row r="181" spans="1:8" ht="11.1" customHeight="1" x14ac:dyDescent="0.2">
      <c r="A181" s="247"/>
      <c r="B181" s="270"/>
      <c r="C181" s="271"/>
      <c r="D181" s="272"/>
      <c r="E181" s="271"/>
      <c r="F181" s="273"/>
      <c r="G181" s="247"/>
      <c r="H181" s="258"/>
    </row>
    <row r="182" spans="1:8" ht="11.1" customHeight="1" x14ac:dyDescent="0.2">
      <c r="A182" s="247"/>
      <c r="B182" s="261"/>
      <c r="C182" s="262"/>
      <c r="D182" s="263"/>
      <c r="E182" s="262"/>
      <c r="F182" s="264"/>
      <c r="G182" s="247"/>
      <c r="H182" s="258"/>
    </row>
    <row r="183" spans="1:8" ht="11.1" customHeight="1" x14ac:dyDescent="0.2">
      <c r="A183" s="247"/>
      <c r="B183" s="270"/>
      <c r="C183" s="271"/>
      <c r="D183" s="272"/>
      <c r="E183" s="271"/>
      <c r="F183" s="273"/>
      <c r="G183" s="247"/>
      <c r="H183" s="258"/>
    </row>
    <row r="184" spans="1:8" ht="11.1" customHeight="1" x14ac:dyDescent="0.2">
      <c r="A184" s="247"/>
      <c r="B184" s="261"/>
      <c r="C184" s="262"/>
      <c r="D184" s="263"/>
      <c r="E184" s="262"/>
      <c r="F184" s="264"/>
      <c r="G184" s="247"/>
      <c r="H184" s="258"/>
    </row>
    <row r="185" spans="1:8" ht="11.1" customHeight="1" x14ac:dyDescent="0.2">
      <c r="A185" s="247"/>
      <c r="B185" s="270"/>
      <c r="C185" s="271"/>
      <c r="D185" s="272"/>
      <c r="E185" s="271"/>
      <c r="F185" s="273"/>
      <c r="G185" s="247"/>
      <c r="H185" s="258"/>
    </row>
    <row r="186" spans="1:8" ht="11.1" customHeight="1" x14ac:dyDescent="0.2">
      <c r="A186" s="247"/>
      <c r="B186" s="291"/>
      <c r="C186" s="292"/>
      <c r="D186" s="293"/>
      <c r="E186" s="292"/>
      <c r="F186" s="294"/>
      <c r="G186" s="247"/>
      <c r="H186" s="258"/>
    </row>
    <row r="187" spans="1:8" ht="11.1" customHeight="1" x14ac:dyDescent="0.2">
      <c r="A187" s="247"/>
      <c r="B187" s="258"/>
      <c r="C187" s="258"/>
      <c r="D187" s="259"/>
      <c r="E187" s="258"/>
      <c r="F187" s="258"/>
      <c r="G187" s="247"/>
      <c r="H187" s="258"/>
    </row>
    <row r="188" spans="1:8" ht="11.1" customHeight="1" x14ac:dyDescent="0.2">
      <c r="A188" s="247"/>
      <c r="B188" s="247"/>
      <c r="C188" s="258"/>
      <c r="D188" s="259"/>
      <c r="E188" s="258"/>
      <c r="F188" s="258"/>
      <c r="G188" s="247"/>
      <c r="H188" s="258"/>
    </row>
    <row r="189" spans="1:8" ht="11.1" customHeight="1" x14ac:dyDescent="0.2">
      <c r="A189" s="247"/>
      <c r="B189" s="258"/>
      <c r="C189" s="259"/>
      <c r="D189" s="258"/>
      <c r="E189" s="258"/>
      <c r="F189" s="247"/>
      <c r="G189" s="247"/>
      <c r="H189" s="258"/>
    </row>
    <row r="190" spans="1:8" ht="11.1" customHeight="1" x14ac:dyDescent="0.2">
      <c r="A190" s="247"/>
      <c r="B190" s="258"/>
      <c r="C190" s="259"/>
      <c r="D190" s="258"/>
      <c r="E190" s="258"/>
      <c r="F190" s="247"/>
      <c r="G190" s="258"/>
      <c r="H190" s="259"/>
    </row>
    <row r="191" spans="1:8" ht="11.1" customHeight="1" x14ac:dyDescent="0.2">
      <c r="A191" s="247"/>
      <c r="B191" s="258"/>
      <c r="C191" s="259"/>
      <c r="D191" s="258"/>
      <c r="E191" s="258"/>
      <c r="F191" s="247"/>
      <c r="G191" s="258"/>
      <c r="H191" s="259"/>
    </row>
    <row r="192" spans="1:8" ht="11.1" customHeight="1" x14ac:dyDescent="0.2">
      <c r="A192" s="247"/>
      <c r="B192" s="258"/>
      <c r="C192" s="259"/>
      <c r="D192" s="258"/>
      <c r="E192" s="258"/>
      <c r="F192" s="247"/>
      <c r="G192" s="258"/>
      <c r="H192" s="259"/>
    </row>
    <row r="193" spans="1:8" ht="11.1" customHeight="1" x14ac:dyDescent="0.2">
      <c r="A193" s="247"/>
      <c r="B193" s="258"/>
      <c r="C193" s="259"/>
      <c r="D193" s="258"/>
      <c r="E193" s="258"/>
      <c r="F193" s="247"/>
      <c r="G193" s="258"/>
      <c r="H193" s="259"/>
    </row>
    <row r="194" spans="1:8" ht="11.1" customHeight="1" x14ac:dyDescent="0.2">
      <c r="A194" s="247"/>
      <c r="B194" s="258"/>
      <c r="C194" s="259"/>
      <c r="D194" s="258"/>
      <c r="E194" s="258"/>
      <c r="F194" s="247"/>
      <c r="G194" s="258"/>
      <c r="H194" s="259"/>
    </row>
    <row r="195" spans="1:8" ht="11.1" customHeight="1" x14ac:dyDescent="0.2">
      <c r="A195" s="247"/>
      <c r="B195" s="258"/>
      <c r="C195" s="259"/>
      <c r="D195" s="258"/>
      <c r="E195" s="258"/>
      <c r="F195" s="247"/>
      <c r="G195" s="258"/>
      <c r="H195" s="259"/>
    </row>
    <row r="196" spans="1:8" ht="11.1" customHeight="1" x14ac:dyDescent="0.2">
      <c r="A196" s="247"/>
      <c r="B196" s="258"/>
      <c r="C196" s="259"/>
      <c r="D196" s="258"/>
      <c r="E196" s="258"/>
      <c r="F196" s="247"/>
      <c r="G196" s="258"/>
      <c r="H196" s="259"/>
    </row>
    <row r="197" spans="1:8" ht="11.1" customHeight="1" x14ac:dyDescent="0.2">
      <c r="A197" s="247"/>
      <c r="B197" s="258"/>
      <c r="C197" s="259"/>
      <c r="D197" s="258"/>
      <c r="E197" s="258"/>
      <c r="F197" s="247"/>
      <c r="G197" s="258"/>
      <c r="H197" s="259"/>
    </row>
    <row r="198" spans="1:8" ht="11.1" customHeight="1" x14ac:dyDescent="0.2">
      <c r="A198" s="247"/>
      <c r="B198" s="258"/>
      <c r="C198" s="259"/>
      <c r="D198" s="258"/>
      <c r="E198" s="258"/>
      <c r="F198" s="247"/>
      <c r="G198" s="258"/>
      <c r="H198" s="259"/>
    </row>
    <row r="199" spans="1:8" ht="11.1" customHeight="1" x14ac:dyDescent="0.2">
      <c r="A199" s="247"/>
      <c r="B199" s="258"/>
      <c r="C199" s="259"/>
      <c r="D199" s="258"/>
      <c r="E199" s="258"/>
      <c r="F199" s="247"/>
      <c r="G199" s="258"/>
      <c r="H199" s="259"/>
    </row>
    <row r="200" spans="1:8" ht="11.1" customHeight="1" x14ac:dyDescent="0.2">
      <c r="A200" s="247"/>
      <c r="B200" s="258"/>
      <c r="C200" s="259"/>
      <c r="D200" s="258"/>
      <c r="E200" s="258"/>
      <c r="F200" s="247"/>
      <c r="G200" s="258"/>
      <c r="H200" s="259"/>
    </row>
    <row r="201" spans="1:8" ht="11.1" customHeight="1" x14ac:dyDescent="0.2">
      <c r="A201" s="247"/>
      <c r="B201" s="258"/>
      <c r="C201" s="259"/>
      <c r="D201" s="258"/>
      <c r="E201" s="258"/>
      <c r="F201" s="247"/>
      <c r="G201" s="258"/>
      <c r="H201" s="259"/>
    </row>
    <row r="202" spans="1:8" ht="11.1" customHeight="1" x14ac:dyDescent="0.2">
      <c r="A202" s="247"/>
      <c r="B202" s="258"/>
      <c r="C202" s="259"/>
      <c r="D202" s="258"/>
      <c r="E202" s="258"/>
      <c r="F202" s="247"/>
      <c r="G202" s="258"/>
      <c r="H202" s="259"/>
    </row>
    <row r="203" spans="1:8" ht="11.1" customHeight="1" x14ac:dyDescent="0.2">
      <c r="A203" s="247"/>
      <c r="B203" s="258"/>
      <c r="C203" s="259"/>
      <c r="D203" s="258"/>
      <c r="E203" s="258"/>
      <c r="F203" s="247"/>
      <c r="G203" s="258"/>
      <c r="H203" s="259"/>
    </row>
    <row r="204" spans="1:8" ht="11.1" customHeight="1" x14ac:dyDescent="0.2">
      <c r="A204" s="247"/>
      <c r="B204" s="258"/>
      <c r="C204" s="259"/>
      <c r="D204" s="258"/>
      <c r="E204" s="258"/>
      <c r="F204" s="247"/>
      <c r="G204" s="258"/>
      <c r="H204" s="259"/>
    </row>
    <row r="205" spans="1:8" ht="11.1" customHeight="1" x14ac:dyDescent="0.2">
      <c r="A205" s="247"/>
      <c r="B205" s="258"/>
      <c r="C205" s="259"/>
      <c r="D205" s="258"/>
      <c r="E205" s="258"/>
      <c r="F205" s="247"/>
      <c r="G205" s="258"/>
      <c r="H205" s="259"/>
    </row>
    <row r="206" spans="1:8" ht="11.1" customHeight="1" x14ac:dyDescent="0.2">
      <c r="A206" s="247"/>
      <c r="B206" s="258"/>
      <c r="C206" s="259"/>
      <c r="D206" s="258"/>
      <c r="E206" s="258"/>
      <c r="F206" s="247"/>
      <c r="G206" s="258"/>
      <c r="H206" s="259"/>
    </row>
    <row r="207" spans="1:8" ht="11.1" customHeight="1" x14ac:dyDescent="0.2">
      <c r="A207" s="247"/>
      <c r="B207" s="258"/>
      <c r="C207" s="259"/>
      <c r="D207" s="258"/>
      <c r="E207" s="258"/>
      <c r="F207" s="247"/>
      <c r="G207" s="258"/>
      <c r="H207" s="259"/>
    </row>
    <row r="208" spans="1:8" ht="11.1" customHeight="1" x14ac:dyDescent="0.2">
      <c r="A208" s="247"/>
      <c r="B208" s="258"/>
      <c r="C208" s="259"/>
      <c r="D208" s="258"/>
      <c r="E208" s="258"/>
      <c r="F208" s="247"/>
      <c r="G208" s="258"/>
      <c r="H208" s="259"/>
    </row>
    <row r="209" spans="1:8" ht="11.1" customHeight="1" x14ac:dyDescent="0.2">
      <c r="A209" s="247"/>
      <c r="B209" s="258"/>
      <c r="C209" s="259"/>
      <c r="D209" s="258"/>
      <c r="E209" s="258"/>
      <c r="F209" s="247"/>
      <c r="G209" s="258"/>
      <c r="H209" s="259"/>
    </row>
    <row r="210" spans="1:8" ht="11.1" customHeight="1" x14ac:dyDescent="0.2">
      <c r="A210" s="247"/>
      <c r="B210" s="258"/>
      <c r="C210" s="259"/>
      <c r="D210" s="258"/>
      <c r="E210" s="258"/>
      <c r="F210" s="247"/>
      <c r="G210" s="258"/>
      <c r="H210" s="259"/>
    </row>
    <row r="211" spans="1:8" ht="11.1" customHeight="1" x14ac:dyDescent="0.2">
      <c r="A211" s="247"/>
      <c r="B211" s="258"/>
      <c r="C211" s="259"/>
      <c r="D211" s="258"/>
      <c r="E211" s="258"/>
      <c r="F211" s="247"/>
      <c r="G211" s="258"/>
      <c r="H211" s="259"/>
    </row>
    <row r="212" spans="1:8" ht="11.1" customHeight="1" x14ac:dyDescent="0.2">
      <c r="A212" s="247"/>
      <c r="B212" s="258"/>
      <c r="C212" s="259"/>
      <c r="D212" s="258"/>
      <c r="E212" s="258"/>
      <c r="F212" s="247"/>
      <c r="G212" s="258"/>
      <c r="H212" s="259"/>
    </row>
    <row r="213" spans="1:8" ht="11.1" customHeight="1" x14ac:dyDescent="0.2">
      <c r="A213" s="247"/>
      <c r="B213" s="258"/>
      <c r="C213" s="259"/>
      <c r="D213" s="258"/>
      <c r="E213" s="258"/>
      <c r="F213" s="247"/>
      <c r="G213" s="258"/>
      <c r="H213" s="259"/>
    </row>
    <row r="214" spans="1:8" ht="11.1" customHeight="1" x14ac:dyDescent="0.2">
      <c r="A214" s="247"/>
      <c r="B214" s="258"/>
      <c r="C214" s="259"/>
      <c r="D214" s="258"/>
      <c r="E214" s="258"/>
      <c r="F214" s="247"/>
      <c r="G214" s="258"/>
      <c r="H214" s="259"/>
    </row>
    <row r="215" spans="1:8" ht="11.1" customHeight="1" x14ac:dyDescent="0.2">
      <c r="A215" s="247"/>
      <c r="B215" s="258"/>
      <c r="C215" s="259"/>
      <c r="D215" s="258"/>
      <c r="E215" s="258"/>
      <c r="F215" s="247"/>
      <c r="G215" s="258"/>
      <c r="H215" s="259"/>
    </row>
    <row r="216" spans="1:8" ht="11.1" customHeight="1" x14ac:dyDescent="0.2">
      <c r="A216" s="247"/>
      <c r="B216" s="258"/>
      <c r="C216" s="259"/>
      <c r="D216" s="258"/>
      <c r="E216" s="258"/>
      <c r="F216" s="247"/>
      <c r="G216" s="258"/>
      <c r="H216" s="259"/>
    </row>
    <row r="217" spans="1:8" ht="11.1" customHeight="1" x14ac:dyDescent="0.2">
      <c r="A217" s="247"/>
      <c r="B217" s="258"/>
      <c r="C217" s="259"/>
      <c r="D217" s="258"/>
      <c r="E217" s="258"/>
      <c r="F217" s="247"/>
      <c r="G217" s="258"/>
      <c r="H217" s="259"/>
    </row>
    <row r="218" spans="1:8" ht="11.1" customHeight="1" x14ac:dyDescent="0.2">
      <c r="A218" s="247"/>
      <c r="B218" s="258"/>
      <c r="C218" s="259"/>
      <c r="D218" s="258"/>
      <c r="E218" s="258"/>
      <c r="F218" s="247"/>
      <c r="G218" s="258"/>
      <c r="H218" s="259"/>
    </row>
    <row r="219" spans="1:8" ht="11.1" customHeight="1" x14ac:dyDescent="0.2">
      <c r="A219" s="247"/>
      <c r="B219" s="258"/>
      <c r="C219" s="259"/>
      <c r="D219" s="258"/>
      <c r="E219" s="258"/>
      <c r="F219" s="247"/>
      <c r="G219" s="258"/>
      <c r="H219" s="259"/>
    </row>
    <row r="220" spans="1:8" ht="11.1" customHeight="1" x14ac:dyDescent="0.2">
      <c r="A220" s="247"/>
      <c r="B220" s="258"/>
      <c r="C220" s="259"/>
      <c r="D220" s="258"/>
      <c r="E220" s="258"/>
      <c r="F220" s="247"/>
      <c r="G220" s="258"/>
      <c r="H220" s="259"/>
    </row>
    <row r="221" spans="1:8" ht="11.1" customHeight="1" x14ac:dyDescent="0.2">
      <c r="A221" s="247"/>
      <c r="B221" s="258"/>
      <c r="C221" s="259"/>
      <c r="D221" s="258"/>
      <c r="E221" s="258"/>
      <c r="F221" s="247"/>
      <c r="G221" s="258"/>
      <c r="H221" s="259"/>
    </row>
    <row r="222" spans="1:8" ht="11.1" customHeight="1" x14ac:dyDescent="0.2">
      <c r="A222" s="247"/>
      <c r="B222" s="258"/>
      <c r="C222" s="259"/>
      <c r="D222" s="258"/>
      <c r="E222" s="258"/>
      <c r="F222" s="247"/>
      <c r="G222" s="258"/>
      <c r="H222" s="259"/>
    </row>
    <row r="223" spans="1:8" ht="11.1" customHeight="1" x14ac:dyDescent="0.2">
      <c r="A223" s="247"/>
      <c r="B223" s="258"/>
      <c r="C223" s="259"/>
      <c r="D223" s="258"/>
      <c r="E223" s="258"/>
      <c r="F223" s="247"/>
      <c r="G223" s="258"/>
      <c r="H223" s="259"/>
    </row>
    <row r="224" spans="1:8" ht="11.1" customHeight="1" x14ac:dyDescent="0.2">
      <c r="A224" s="247"/>
      <c r="B224" s="258"/>
      <c r="C224" s="259"/>
      <c r="D224" s="258"/>
      <c r="E224" s="258"/>
      <c r="F224" s="247"/>
      <c r="G224" s="258"/>
      <c r="H224" s="259"/>
    </row>
    <row r="225" spans="1:8" ht="11.1" customHeight="1" x14ac:dyDescent="0.2">
      <c r="A225" s="247"/>
      <c r="B225" s="258"/>
      <c r="C225" s="259"/>
      <c r="D225" s="258"/>
      <c r="E225" s="258"/>
      <c r="F225" s="247"/>
      <c r="G225" s="258"/>
      <c r="H225" s="259"/>
    </row>
    <row r="226" spans="1:8" ht="11.1" customHeight="1" x14ac:dyDescent="0.2">
      <c r="A226" s="247"/>
      <c r="B226" s="258"/>
      <c r="C226" s="259"/>
      <c r="D226" s="258"/>
      <c r="E226" s="258"/>
      <c r="F226" s="247"/>
      <c r="G226" s="258"/>
      <c r="H226" s="259"/>
    </row>
    <row r="227" spans="1:8" ht="11.1" customHeight="1" x14ac:dyDescent="0.2">
      <c r="A227" s="247"/>
      <c r="B227" s="258"/>
      <c r="C227" s="259"/>
      <c r="D227" s="258"/>
      <c r="E227" s="258"/>
      <c r="F227" s="247"/>
      <c r="G227" s="258"/>
      <c r="H227" s="259"/>
    </row>
    <row r="228" spans="1:8" ht="11.1" customHeight="1" x14ac:dyDescent="0.2">
      <c r="A228" s="247"/>
      <c r="B228" s="258"/>
      <c r="C228" s="259"/>
      <c r="D228" s="258"/>
      <c r="E228" s="258"/>
      <c r="F228" s="247"/>
      <c r="G228" s="258"/>
      <c r="H228" s="259"/>
    </row>
    <row r="229" spans="1:8" ht="11.1" customHeight="1" x14ac:dyDescent="0.2">
      <c r="A229" s="247"/>
      <c r="B229" s="258"/>
      <c r="C229" s="259"/>
      <c r="D229" s="258"/>
      <c r="E229" s="258"/>
      <c r="F229" s="247"/>
      <c r="G229" s="258"/>
      <c r="H229" s="259"/>
    </row>
    <row r="230" spans="1:8" ht="11.1" customHeight="1" x14ac:dyDescent="0.2">
      <c r="A230" s="247"/>
      <c r="B230" s="258"/>
      <c r="C230" s="259"/>
      <c r="D230" s="258"/>
      <c r="E230" s="258"/>
      <c r="F230" s="247"/>
      <c r="G230" s="258"/>
      <c r="H230" s="259"/>
    </row>
    <row r="231" spans="1:8" ht="11.1" customHeight="1" x14ac:dyDescent="0.2">
      <c r="A231" s="247"/>
      <c r="B231" s="258"/>
      <c r="C231" s="259"/>
      <c r="D231" s="258"/>
      <c r="E231" s="258"/>
      <c r="F231" s="247"/>
      <c r="G231" s="258"/>
      <c r="H231" s="259"/>
    </row>
    <row r="232" spans="1:8" ht="11.1" customHeight="1" x14ac:dyDescent="0.2">
      <c r="A232" s="247"/>
      <c r="B232" s="258"/>
      <c r="C232" s="259"/>
      <c r="D232" s="258"/>
      <c r="E232" s="258"/>
      <c r="F232" s="247"/>
      <c r="G232" s="258"/>
      <c r="H232" s="259"/>
    </row>
    <row r="233" spans="1:8" ht="11.1" customHeight="1" x14ac:dyDescent="0.2">
      <c r="A233" s="247"/>
      <c r="B233" s="258"/>
      <c r="C233" s="259"/>
      <c r="D233" s="258"/>
      <c r="E233" s="258"/>
      <c r="F233" s="247"/>
      <c r="G233" s="258"/>
      <c r="H233" s="259"/>
    </row>
    <row r="234" spans="1:8" ht="11.1" customHeight="1" x14ac:dyDescent="0.2">
      <c r="A234" s="247"/>
      <c r="B234" s="258"/>
      <c r="C234" s="259"/>
      <c r="D234" s="258"/>
      <c r="E234" s="258"/>
      <c r="F234" s="247"/>
      <c r="G234" s="258"/>
      <c r="H234" s="259"/>
    </row>
    <row r="235" spans="1:8" ht="11.1" customHeight="1" x14ac:dyDescent="0.2">
      <c r="A235" s="247"/>
      <c r="B235" s="258"/>
      <c r="C235" s="259"/>
      <c r="D235" s="258"/>
      <c r="E235" s="258"/>
      <c r="F235" s="247"/>
      <c r="G235" s="258"/>
      <c r="H235" s="259"/>
    </row>
    <row r="236" spans="1:8" ht="11.1" customHeight="1" x14ac:dyDescent="0.2">
      <c r="A236" s="247"/>
      <c r="B236" s="258"/>
      <c r="C236" s="259"/>
      <c r="D236" s="258"/>
      <c r="E236" s="258"/>
      <c r="F236" s="247"/>
      <c r="G236" s="258"/>
      <c r="H236" s="259"/>
    </row>
    <row r="237" spans="1:8" ht="11.1" customHeight="1" x14ac:dyDescent="0.2">
      <c r="A237" s="247"/>
      <c r="B237" s="258"/>
      <c r="C237" s="259"/>
      <c r="D237" s="258"/>
      <c r="E237" s="258"/>
      <c r="F237" s="247"/>
      <c r="G237" s="258"/>
      <c r="H237" s="259"/>
    </row>
    <row r="238" spans="1:8" ht="11.1" customHeight="1" x14ac:dyDescent="0.2">
      <c r="A238" s="247"/>
      <c r="B238" s="258"/>
      <c r="C238" s="259"/>
      <c r="D238" s="258"/>
      <c r="E238" s="258"/>
      <c r="F238" s="247"/>
      <c r="G238" s="258"/>
      <c r="H238" s="259"/>
    </row>
    <row r="239" spans="1:8" ht="11.1" customHeight="1" x14ac:dyDescent="0.2">
      <c r="A239" s="247"/>
      <c r="B239" s="258"/>
      <c r="C239" s="259"/>
      <c r="D239" s="258"/>
      <c r="E239" s="258"/>
      <c r="F239" s="247"/>
      <c r="G239" s="258"/>
      <c r="H239" s="259"/>
    </row>
    <row r="240" spans="1:8" ht="11.1" customHeight="1" x14ac:dyDescent="0.2">
      <c r="A240" s="247"/>
      <c r="B240" s="258"/>
      <c r="C240" s="259"/>
      <c r="D240" s="258"/>
      <c r="E240" s="258"/>
      <c r="F240" s="247"/>
      <c r="G240" s="258"/>
      <c r="H240" s="259"/>
    </row>
    <row r="241" spans="1:8" ht="11.1" customHeight="1" x14ac:dyDescent="0.2">
      <c r="A241" s="247"/>
      <c r="B241" s="258"/>
      <c r="C241" s="259"/>
      <c r="D241" s="258"/>
      <c r="E241" s="258"/>
      <c r="F241" s="247"/>
      <c r="G241" s="258"/>
      <c r="H241" s="259"/>
    </row>
    <row r="242" spans="1:8" ht="11.1" customHeight="1" x14ac:dyDescent="0.2">
      <c r="A242" s="247"/>
      <c r="B242" s="258"/>
      <c r="C242" s="259"/>
      <c r="D242" s="258"/>
      <c r="E242" s="258"/>
      <c r="F242" s="247"/>
      <c r="G242" s="258"/>
      <c r="H242" s="259"/>
    </row>
    <row r="243" spans="1:8" ht="11.1" customHeight="1" x14ac:dyDescent="0.2">
      <c r="A243" s="247"/>
      <c r="B243" s="258"/>
      <c r="C243" s="259"/>
      <c r="D243" s="258"/>
      <c r="E243" s="258"/>
      <c r="F243" s="247"/>
      <c r="G243" s="258"/>
      <c r="H243" s="259"/>
    </row>
    <row r="244" spans="1:8" ht="11.1" customHeight="1" x14ac:dyDescent="0.2">
      <c r="A244" s="247"/>
      <c r="B244" s="258"/>
      <c r="C244" s="259"/>
      <c r="D244" s="258"/>
      <c r="E244" s="258"/>
      <c r="F244" s="247"/>
      <c r="G244" s="258"/>
      <c r="H244" s="259"/>
    </row>
    <row r="245" spans="1:8" ht="11.1" customHeight="1" x14ac:dyDescent="0.2">
      <c r="A245" s="247"/>
      <c r="B245" s="258"/>
      <c r="C245" s="259"/>
      <c r="D245" s="258"/>
      <c r="E245" s="258"/>
      <c r="F245" s="247"/>
      <c r="G245" s="258"/>
      <c r="H245" s="259"/>
    </row>
    <row r="246" spans="1:8" ht="11.1" customHeight="1" x14ac:dyDescent="0.2">
      <c r="A246" s="247"/>
      <c r="B246" s="258"/>
      <c r="C246" s="259"/>
      <c r="D246" s="258"/>
      <c r="E246" s="258"/>
      <c r="F246" s="247"/>
      <c r="G246" s="258"/>
      <c r="H246" s="259"/>
    </row>
    <row r="247" spans="1:8" ht="11.1" customHeight="1" x14ac:dyDescent="0.2">
      <c r="A247" s="247"/>
      <c r="B247" s="258"/>
      <c r="C247" s="259"/>
      <c r="D247" s="258"/>
      <c r="E247" s="258"/>
      <c r="F247" s="247"/>
      <c r="G247" s="258"/>
      <c r="H247" s="259"/>
    </row>
    <row r="248" spans="1:8" ht="11.1" customHeight="1" x14ac:dyDescent="0.2">
      <c r="A248" s="247"/>
      <c r="B248" s="258"/>
      <c r="C248" s="259"/>
      <c r="D248" s="258"/>
      <c r="E248" s="258"/>
      <c r="F248" s="247"/>
      <c r="G248" s="258"/>
      <c r="H248" s="259"/>
    </row>
    <row r="249" spans="1:8" ht="11.1" customHeight="1" x14ac:dyDescent="0.2">
      <c r="A249" s="247"/>
      <c r="B249" s="258"/>
      <c r="C249" s="259"/>
      <c r="D249" s="258"/>
      <c r="E249" s="258"/>
      <c r="F249" s="247"/>
      <c r="G249" s="258"/>
      <c r="H249" s="259"/>
    </row>
    <row r="250" spans="1:8" ht="11.1" customHeight="1" x14ac:dyDescent="0.2">
      <c r="A250" s="247"/>
      <c r="B250" s="258"/>
      <c r="C250" s="259"/>
      <c r="D250" s="258"/>
      <c r="E250" s="258"/>
      <c r="F250" s="247"/>
      <c r="G250" s="258"/>
      <c r="H250" s="259"/>
    </row>
    <row r="251" spans="1:8" ht="11.1" customHeight="1" x14ac:dyDescent="0.2">
      <c r="A251" s="247"/>
      <c r="B251" s="258"/>
      <c r="C251" s="259"/>
      <c r="D251" s="258"/>
      <c r="E251" s="258"/>
      <c r="F251" s="247"/>
      <c r="G251" s="258"/>
      <c r="H251" s="259"/>
    </row>
    <row r="252" spans="1:8" ht="11.1" customHeight="1" x14ac:dyDescent="0.2">
      <c r="A252" s="247"/>
      <c r="B252" s="258"/>
      <c r="C252" s="259"/>
      <c r="D252" s="258"/>
      <c r="E252" s="258"/>
      <c r="F252" s="247"/>
      <c r="G252" s="258"/>
      <c r="H252" s="259"/>
    </row>
    <row r="253" spans="1:8" ht="11.1" customHeight="1" x14ac:dyDescent="0.2">
      <c r="A253" s="247"/>
      <c r="B253" s="258"/>
      <c r="C253" s="259"/>
      <c r="D253" s="258"/>
      <c r="E253" s="258"/>
      <c r="F253" s="247"/>
      <c r="G253" s="258"/>
      <c r="H253" s="259"/>
    </row>
    <row r="254" spans="1:8" ht="11.1" customHeight="1" x14ac:dyDescent="0.2">
      <c r="A254" s="247"/>
      <c r="B254" s="258"/>
      <c r="C254" s="259"/>
      <c r="D254" s="258"/>
      <c r="E254" s="258"/>
      <c r="F254" s="247"/>
      <c r="G254" s="258"/>
      <c r="H254" s="259"/>
    </row>
    <row r="255" spans="1:8" ht="11.1" customHeight="1" x14ac:dyDescent="0.2">
      <c r="A255" s="247"/>
      <c r="B255" s="258"/>
      <c r="C255" s="259"/>
      <c r="D255" s="258"/>
      <c r="E255" s="258"/>
      <c r="F255" s="247"/>
      <c r="G255" s="258"/>
      <c r="H255" s="259"/>
    </row>
    <row r="256" spans="1:8" ht="11.1" customHeight="1" x14ac:dyDescent="0.2">
      <c r="A256" s="247"/>
      <c r="B256" s="258"/>
      <c r="C256" s="259"/>
      <c r="D256" s="258"/>
      <c r="E256" s="258"/>
      <c r="F256" s="247"/>
      <c r="G256" s="258"/>
      <c r="H256" s="259"/>
    </row>
    <row r="257" spans="1:8" ht="11.1" customHeight="1" x14ac:dyDescent="0.2">
      <c r="A257" s="247"/>
      <c r="B257" s="258"/>
      <c r="C257" s="259"/>
      <c r="D257" s="258"/>
      <c r="E257" s="258"/>
      <c r="F257" s="247"/>
      <c r="G257" s="258"/>
      <c r="H257" s="259"/>
    </row>
    <row r="258" spans="1:8" ht="11.1" customHeight="1" x14ac:dyDescent="0.2">
      <c r="A258" s="247"/>
      <c r="B258" s="258"/>
      <c r="C258" s="259"/>
      <c r="D258" s="258"/>
      <c r="E258" s="258"/>
      <c r="F258" s="247"/>
      <c r="G258" s="258"/>
      <c r="H258" s="259"/>
    </row>
    <row r="259" spans="1:8" ht="11.1" customHeight="1" x14ac:dyDescent="0.2">
      <c r="A259" s="247"/>
      <c r="B259" s="258"/>
      <c r="C259" s="259"/>
      <c r="D259" s="258"/>
      <c r="E259" s="258"/>
      <c r="F259" s="247"/>
      <c r="G259" s="258"/>
      <c r="H259" s="259"/>
    </row>
    <row r="260" spans="1:8" ht="11.1" customHeight="1" x14ac:dyDescent="0.2">
      <c r="A260" s="247"/>
      <c r="B260" s="258"/>
      <c r="C260" s="259"/>
      <c r="D260" s="258"/>
      <c r="E260" s="258"/>
      <c r="F260" s="247"/>
      <c r="G260" s="258"/>
      <c r="H260" s="259"/>
    </row>
    <row r="261" spans="1:8" ht="11.1" customHeight="1" x14ac:dyDescent="0.2">
      <c r="A261" s="247"/>
      <c r="B261" s="258"/>
      <c r="C261" s="259"/>
      <c r="D261" s="258"/>
      <c r="E261" s="258"/>
      <c r="F261" s="247"/>
      <c r="G261" s="258"/>
      <c r="H261" s="259"/>
    </row>
    <row r="262" spans="1:8" ht="11.1" customHeight="1" x14ac:dyDescent="0.2">
      <c r="A262" s="247"/>
      <c r="B262" s="258"/>
      <c r="C262" s="259"/>
      <c r="D262" s="258"/>
      <c r="E262" s="258"/>
      <c r="F262" s="247"/>
      <c r="G262" s="258"/>
      <c r="H262" s="259"/>
    </row>
    <row r="263" spans="1:8" ht="11.1" customHeight="1" x14ac:dyDescent="0.2">
      <c r="A263" s="247"/>
      <c r="B263" s="258"/>
      <c r="C263" s="259"/>
      <c r="D263" s="258"/>
      <c r="E263" s="258"/>
      <c r="F263" s="247"/>
      <c r="G263" s="258"/>
      <c r="H263" s="259"/>
    </row>
    <row r="264" spans="1:8" ht="11.1" customHeight="1" x14ac:dyDescent="0.2">
      <c r="A264" s="247"/>
      <c r="B264" s="258"/>
      <c r="C264" s="259"/>
      <c r="D264" s="258"/>
      <c r="E264" s="258"/>
      <c r="F264" s="247"/>
      <c r="G264" s="258"/>
      <c r="H264" s="259"/>
    </row>
    <row r="265" spans="1:8" ht="11.1" customHeight="1" x14ac:dyDescent="0.2">
      <c r="A265" s="247"/>
      <c r="B265" s="258"/>
      <c r="C265" s="259"/>
      <c r="D265" s="258"/>
      <c r="E265" s="258"/>
      <c r="F265" s="247"/>
      <c r="G265" s="258"/>
      <c r="H265" s="259"/>
    </row>
    <row r="266" spans="1:8" ht="11.1" customHeight="1" x14ac:dyDescent="0.2">
      <c r="A266" s="247"/>
      <c r="B266" s="258"/>
      <c r="C266" s="259"/>
      <c r="D266" s="258"/>
      <c r="E266" s="258"/>
      <c r="F266" s="247"/>
      <c r="G266" s="258"/>
      <c r="H266" s="259"/>
    </row>
    <row r="267" spans="1:8" ht="11.1" customHeight="1" x14ac:dyDescent="0.2">
      <c r="A267" s="247"/>
      <c r="B267" s="258"/>
      <c r="C267" s="259"/>
      <c r="D267" s="258"/>
      <c r="E267" s="258"/>
      <c r="F267" s="247"/>
      <c r="G267" s="258"/>
      <c r="H267" s="259"/>
    </row>
    <row r="268" spans="1:8" ht="11.1" customHeight="1" x14ac:dyDescent="0.2">
      <c r="A268" s="247"/>
      <c r="B268" s="258"/>
      <c r="C268" s="259"/>
      <c r="D268" s="258"/>
      <c r="E268" s="258"/>
      <c r="F268" s="247"/>
      <c r="G268" s="258"/>
      <c r="H268" s="259"/>
    </row>
    <row r="269" spans="1:8" ht="11.1" customHeight="1" x14ac:dyDescent="0.2">
      <c r="A269" s="247"/>
      <c r="B269" s="258"/>
      <c r="C269" s="259"/>
      <c r="D269" s="258"/>
      <c r="E269" s="258"/>
      <c r="F269" s="247"/>
      <c r="G269" s="258"/>
      <c r="H269" s="259"/>
    </row>
    <row r="270" spans="1:8" ht="11.1" customHeight="1" x14ac:dyDescent="0.2">
      <c r="A270" s="247"/>
      <c r="B270" s="258"/>
      <c r="C270" s="259"/>
      <c r="D270" s="258"/>
      <c r="E270" s="258"/>
      <c r="F270" s="247"/>
      <c r="G270" s="258"/>
      <c r="H270" s="259"/>
    </row>
    <row r="271" spans="1:8" ht="11.1" customHeight="1" x14ac:dyDescent="0.2">
      <c r="A271" s="247"/>
      <c r="B271" s="258"/>
      <c r="C271" s="259"/>
      <c r="D271" s="258"/>
      <c r="E271" s="258"/>
      <c r="F271" s="247"/>
      <c r="G271" s="258"/>
      <c r="H271" s="259"/>
    </row>
    <row r="272" spans="1:8" ht="11.1" customHeight="1" x14ac:dyDescent="0.2">
      <c r="A272" s="247"/>
      <c r="B272" s="258"/>
      <c r="C272" s="259"/>
      <c r="D272" s="258"/>
      <c r="E272" s="258"/>
      <c r="F272" s="247"/>
      <c r="G272" s="258"/>
      <c r="H272" s="259"/>
    </row>
    <row r="273" spans="1:8" ht="11.1" customHeight="1" x14ac:dyDescent="0.2">
      <c r="A273" s="247"/>
      <c r="B273" s="258"/>
      <c r="C273" s="259"/>
      <c r="D273" s="258"/>
      <c r="E273" s="258"/>
      <c r="F273" s="247"/>
      <c r="G273" s="258"/>
      <c r="H273" s="259"/>
    </row>
    <row r="274" spans="1:8" ht="11.1" customHeight="1" x14ac:dyDescent="0.2">
      <c r="A274" s="247"/>
      <c r="B274" s="258"/>
      <c r="C274" s="259"/>
      <c r="D274" s="258"/>
      <c r="E274" s="258"/>
      <c r="F274" s="247"/>
      <c r="G274" s="258"/>
      <c r="H274" s="259"/>
    </row>
    <row r="275" spans="1:8" ht="11.1" customHeight="1" x14ac:dyDescent="0.2">
      <c r="A275" s="247"/>
      <c r="B275" s="258"/>
      <c r="C275" s="259"/>
      <c r="D275" s="258"/>
      <c r="E275" s="258"/>
      <c r="F275" s="247"/>
      <c r="G275" s="258"/>
      <c r="H275" s="259"/>
    </row>
    <row r="276" spans="1:8" ht="11.1" customHeight="1" x14ac:dyDescent="0.2">
      <c r="A276" s="247"/>
      <c r="B276" s="258"/>
      <c r="C276" s="259"/>
      <c r="D276" s="258"/>
      <c r="E276" s="258"/>
      <c r="F276" s="247"/>
      <c r="G276" s="258"/>
      <c r="H276" s="259"/>
    </row>
    <row r="277" spans="1:8" ht="11.1" customHeight="1" x14ac:dyDescent="0.2">
      <c r="A277" s="247"/>
      <c r="B277" s="258"/>
      <c r="C277" s="259"/>
      <c r="D277" s="258"/>
      <c r="E277" s="258"/>
      <c r="F277" s="247"/>
      <c r="G277" s="258"/>
      <c r="H277" s="259"/>
    </row>
    <row r="278" spans="1:8" ht="11.1" customHeight="1" x14ac:dyDescent="0.2">
      <c r="A278" s="247"/>
      <c r="B278" s="258"/>
      <c r="C278" s="259"/>
      <c r="D278" s="258"/>
      <c r="E278" s="258"/>
      <c r="F278" s="247"/>
      <c r="G278" s="258"/>
      <c r="H278" s="259"/>
    </row>
    <row r="279" spans="1:8" ht="11.1" customHeight="1" x14ac:dyDescent="0.2">
      <c r="A279" s="247"/>
      <c r="B279" s="258"/>
      <c r="C279" s="259"/>
      <c r="D279" s="258"/>
      <c r="E279" s="258"/>
      <c r="F279" s="247"/>
      <c r="G279" s="258"/>
      <c r="H279" s="259"/>
    </row>
    <row r="280" spans="1:8" ht="11.1" customHeight="1" x14ac:dyDescent="0.2">
      <c r="A280" s="247"/>
      <c r="B280" s="258"/>
      <c r="C280" s="259"/>
      <c r="D280" s="258"/>
      <c r="E280" s="258"/>
      <c r="F280" s="247"/>
      <c r="G280" s="258"/>
      <c r="H280" s="259"/>
    </row>
    <row r="281" spans="1:8" ht="11.1" customHeight="1" x14ac:dyDescent="0.2">
      <c r="A281" s="247"/>
      <c r="B281" s="258"/>
      <c r="C281" s="259"/>
      <c r="D281" s="258"/>
      <c r="E281" s="258"/>
      <c r="F281" s="247"/>
      <c r="G281" s="258"/>
      <c r="H281" s="259"/>
    </row>
    <row r="282" spans="1:8" ht="11.1" customHeight="1" x14ac:dyDescent="0.2">
      <c r="A282" s="247"/>
      <c r="B282" s="258"/>
      <c r="C282" s="259"/>
      <c r="D282" s="258"/>
      <c r="E282" s="258"/>
      <c r="F282" s="247"/>
      <c r="G282" s="258"/>
      <c r="H282" s="259"/>
    </row>
    <row r="283" spans="1:8" ht="11.1" customHeight="1" x14ac:dyDescent="0.2">
      <c r="A283" s="247"/>
      <c r="B283" s="258"/>
      <c r="C283" s="259"/>
      <c r="D283" s="258"/>
      <c r="E283" s="258"/>
      <c r="F283" s="247"/>
      <c r="G283" s="258"/>
      <c r="H283" s="259"/>
    </row>
    <row r="284" spans="1:8" ht="11.1" customHeight="1" x14ac:dyDescent="0.2">
      <c r="A284" s="247"/>
      <c r="B284" s="258"/>
      <c r="C284" s="259"/>
      <c r="D284" s="258"/>
      <c r="E284" s="258"/>
      <c r="F284" s="247"/>
      <c r="G284" s="258"/>
      <c r="H284" s="259"/>
    </row>
    <row r="285" spans="1:8" ht="11.1" customHeight="1" x14ac:dyDescent="0.2">
      <c r="A285" s="247"/>
      <c r="B285" s="258"/>
      <c r="C285" s="259"/>
      <c r="D285" s="258"/>
      <c r="E285" s="258"/>
      <c r="F285" s="247"/>
      <c r="G285" s="258"/>
      <c r="H285" s="259"/>
    </row>
    <row r="286" spans="1:8" ht="11.1" customHeight="1" x14ac:dyDescent="0.2">
      <c r="A286" s="247"/>
      <c r="B286" s="258"/>
      <c r="C286" s="259"/>
      <c r="D286" s="258"/>
      <c r="E286" s="258"/>
      <c r="F286" s="247"/>
      <c r="G286" s="258"/>
      <c r="H286" s="259"/>
    </row>
    <row r="287" spans="1:8" ht="11.1" customHeight="1" x14ac:dyDescent="0.2">
      <c r="A287" s="247"/>
      <c r="B287" s="258"/>
      <c r="C287" s="259"/>
      <c r="D287" s="258"/>
      <c r="E287" s="258"/>
      <c r="F287" s="247"/>
      <c r="G287" s="258"/>
      <c r="H287" s="259"/>
    </row>
    <row r="288" spans="1:8" ht="11.1" customHeight="1" x14ac:dyDescent="0.2">
      <c r="A288" s="247"/>
      <c r="B288" s="258"/>
      <c r="C288" s="259"/>
      <c r="D288" s="258"/>
      <c r="E288" s="258"/>
      <c r="F288" s="247"/>
      <c r="G288" s="258"/>
      <c r="H288" s="259"/>
    </row>
    <row r="289" spans="1:8" ht="11.1" customHeight="1" x14ac:dyDescent="0.2">
      <c r="A289" s="247"/>
      <c r="B289" s="258"/>
      <c r="C289" s="259"/>
      <c r="D289" s="258"/>
      <c r="E289" s="258"/>
      <c r="F289" s="289"/>
      <c r="G289" s="258"/>
      <c r="H289" s="259"/>
    </row>
    <row r="290" spans="1:8" ht="11.1" customHeight="1" x14ac:dyDescent="0.2">
      <c r="A290" s="247"/>
      <c r="B290" s="258"/>
      <c r="C290" s="259"/>
      <c r="D290" s="258"/>
      <c r="E290" s="258"/>
      <c r="F290" s="247"/>
      <c r="G290" s="258"/>
      <c r="H290" s="259"/>
    </row>
    <row r="291" spans="1:8" ht="11.1" customHeight="1" x14ac:dyDescent="0.2">
      <c r="A291" s="247"/>
      <c r="B291" s="258"/>
      <c r="C291" s="259"/>
      <c r="D291" s="258"/>
      <c r="E291" s="258"/>
      <c r="F291" s="247"/>
      <c r="G291" s="258"/>
      <c r="H291" s="259"/>
    </row>
    <row r="292" spans="1:8" ht="11.1" customHeight="1" x14ac:dyDescent="0.2">
      <c r="A292" s="247"/>
      <c r="B292" s="258"/>
      <c r="C292" s="259"/>
      <c r="D292" s="258"/>
      <c r="E292" s="258"/>
      <c r="G292" s="290"/>
      <c r="H292" s="259"/>
    </row>
    <row r="293" spans="1:8" x14ac:dyDescent="0.2">
      <c r="B293" s="258"/>
      <c r="C293" s="259"/>
      <c r="D293" s="258"/>
      <c r="E293" s="258"/>
      <c r="G293" s="258"/>
      <c r="H293" s="259"/>
    </row>
    <row r="294" spans="1:8" x14ac:dyDescent="0.2">
      <c r="B294" s="258"/>
      <c r="C294" s="259"/>
      <c r="D294" s="258"/>
      <c r="E294" s="258"/>
      <c r="G294" s="290"/>
      <c r="H294" s="259"/>
    </row>
    <row r="295" spans="1:8" x14ac:dyDescent="0.2">
      <c r="B295" s="258"/>
      <c r="C295" s="259"/>
      <c r="D295" s="258"/>
      <c r="E295" s="258"/>
      <c r="G295" s="258"/>
      <c r="H295" s="259"/>
    </row>
    <row r="296" spans="1:8" x14ac:dyDescent="0.2">
      <c r="B296" s="258"/>
      <c r="C296" s="259"/>
      <c r="D296" s="258"/>
      <c r="E296" s="258"/>
      <c r="G296" s="290"/>
      <c r="H296" s="259"/>
    </row>
    <row r="297" spans="1:8" x14ac:dyDescent="0.2">
      <c r="B297" s="258"/>
      <c r="C297" s="259"/>
      <c r="D297" s="258"/>
      <c r="E297" s="258"/>
      <c r="G297" s="258"/>
      <c r="H297" s="259"/>
    </row>
    <row r="298" spans="1:8" x14ac:dyDescent="0.2">
      <c r="B298" s="258"/>
      <c r="C298" s="259"/>
      <c r="D298" s="258"/>
      <c r="E298" s="258"/>
      <c r="G298" s="290"/>
      <c r="H298" s="259"/>
    </row>
    <row r="299" spans="1:8" x14ac:dyDescent="0.2">
      <c r="B299" s="258"/>
      <c r="C299" s="259"/>
      <c r="D299" s="258"/>
      <c r="E299" s="258"/>
      <c r="G299" s="258"/>
      <c r="H299" s="259"/>
    </row>
    <row r="300" spans="1:8" x14ac:dyDescent="0.2">
      <c r="B300" s="258"/>
      <c r="C300" s="259"/>
      <c r="D300" s="258"/>
      <c r="E300" s="258"/>
      <c r="G300" s="290"/>
      <c r="H300" s="259"/>
    </row>
    <row r="301" spans="1:8" x14ac:dyDescent="0.2">
      <c r="B301" s="258"/>
      <c r="C301" s="259"/>
      <c r="D301" s="258"/>
      <c r="E301" s="258"/>
      <c r="G301" s="258"/>
      <c r="H301" s="259"/>
    </row>
    <row r="302" spans="1:8" x14ac:dyDescent="0.2">
      <c r="B302" s="258"/>
      <c r="C302" s="259"/>
      <c r="D302" s="258"/>
      <c r="E302" s="258"/>
      <c r="G302" s="290"/>
      <c r="H302" s="259"/>
    </row>
    <row r="303" spans="1:8" x14ac:dyDescent="0.2">
      <c r="B303" s="258"/>
      <c r="C303" s="259"/>
      <c r="D303" s="258"/>
      <c r="E303" s="258"/>
      <c r="G303" s="258"/>
      <c r="H303" s="259"/>
    </row>
    <row r="304" spans="1:8" x14ac:dyDescent="0.2">
      <c r="B304" s="258"/>
      <c r="C304" s="259"/>
      <c r="D304" s="258"/>
      <c r="E304" s="258"/>
      <c r="G304" s="290"/>
      <c r="H304" s="259"/>
    </row>
    <row r="305" spans="2:8" x14ac:dyDescent="0.2">
      <c r="B305" s="258"/>
      <c r="C305" s="259"/>
      <c r="D305" s="258"/>
      <c r="E305" s="258"/>
      <c r="G305" s="258"/>
      <c r="H305" s="259"/>
    </row>
    <row r="306" spans="2:8" x14ac:dyDescent="0.2">
      <c r="B306" s="258"/>
      <c r="C306" s="259"/>
      <c r="D306" s="258"/>
      <c r="E306" s="258"/>
      <c r="G306" s="290"/>
      <c r="H306" s="259"/>
    </row>
    <row r="307" spans="2:8" x14ac:dyDescent="0.2">
      <c r="B307" s="258"/>
      <c r="C307" s="259"/>
      <c r="D307" s="258"/>
      <c r="E307" s="258"/>
      <c r="G307" s="258"/>
      <c r="H307" s="259"/>
    </row>
    <row r="308" spans="2:8" x14ac:dyDescent="0.2">
      <c r="B308" s="258"/>
      <c r="C308" s="259"/>
      <c r="D308" s="258"/>
      <c r="E308" s="258"/>
      <c r="G308" s="290"/>
      <c r="H308" s="259"/>
    </row>
    <row r="309" spans="2:8" x14ac:dyDescent="0.2">
      <c r="B309" s="258"/>
      <c r="C309" s="259"/>
      <c r="D309" s="258"/>
      <c r="E309" s="258"/>
      <c r="G309" s="258"/>
      <c r="H309" s="259"/>
    </row>
    <row r="310" spans="2:8" x14ac:dyDescent="0.2">
      <c r="B310" s="258"/>
      <c r="C310" s="259"/>
      <c r="D310" s="258"/>
      <c r="E310" s="258"/>
      <c r="G310" s="290"/>
      <c r="H310" s="259"/>
    </row>
    <row r="311" spans="2:8" x14ac:dyDescent="0.2">
      <c r="B311" s="258"/>
      <c r="C311" s="259"/>
      <c r="D311" s="258"/>
      <c r="E311" s="258"/>
      <c r="G311" s="258"/>
      <c r="H311" s="259"/>
    </row>
    <row r="312" spans="2:8" x14ac:dyDescent="0.2">
      <c r="B312" s="258"/>
      <c r="C312" s="259"/>
      <c r="D312" s="258"/>
      <c r="E312" s="258"/>
      <c r="G312" s="290"/>
      <c r="H312" s="259"/>
    </row>
    <row r="313" spans="2:8" x14ac:dyDescent="0.2">
      <c r="G313" s="258"/>
      <c r="H313" s="259"/>
    </row>
  </sheetData>
  <sheetProtection algorithmName="SHA-512" hashValue="jHcqSJ7mx+ab9aUzVTg9FXSLsdU+rhOkXJMMWrO+F2x3Q0gFP09LnTYBmMZI+iv0xp6MRvbnrCCxkyysGiOwxw==" saltValue="pxSKcrL38AsTsJas6t1Nrw==" spinCount="100000" sheet="1" objects="1" scenarios="1"/>
  <mergeCells count="2">
    <mergeCell ref="B2:F2"/>
    <mergeCell ref="B4:E4"/>
  </mergeCells>
  <pageMargins left="0.19685039370078741" right="0.19685039370078741" top="0.19685039370078741" bottom="0.19685039370078741" header="0" footer="0"/>
  <pageSetup paperSize="9" scale="96" orientation="landscape" r:id="rId1"/>
  <headerFooter>
    <oddHeader>&amp;L&amp;"Aptos"&amp;10&amp;K008000 Classificação: Pública&amp;1#_x000D_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C9A5-2FA1-4EA5-886C-9A0548C6FCB3}">
  <sheetPr codeName="Plan6">
    <tabColor rgb="FFC00000"/>
  </sheetPr>
  <dimension ref="B1:T311"/>
  <sheetViews>
    <sheetView showGridLines="0" showRowColHeaders="0" zoomScaleNormal="100" zoomScaleSheetLayoutView="120" workbookViewId="0">
      <selection sqref="A1:AP1"/>
    </sheetView>
  </sheetViews>
  <sheetFormatPr defaultColWidth="8.7109375" defaultRowHeight="12" x14ac:dyDescent="0.2"/>
  <cols>
    <col min="1" max="1" width="0.85546875" style="232" customWidth="1"/>
    <col min="2" max="2" width="3.7109375" style="232" customWidth="1"/>
    <col min="3" max="3" width="18.7109375" style="232" customWidth="1"/>
    <col min="4" max="5" width="6.7109375" style="232" customWidth="1"/>
    <col min="6" max="6" width="0.85546875" style="232" customWidth="1"/>
    <col min="7" max="7" width="3.7109375" style="232" customWidth="1"/>
    <col min="8" max="8" width="24.85546875" style="232" customWidth="1"/>
    <col min="9" max="10" width="6.7109375" style="232" customWidth="1"/>
    <col min="11" max="11" width="0.85546875" style="232" customWidth="1"/>
    <col min="12" max="12" width="3.7109375" style="233" customWidth="1"/>
    <col min="13" max="13" width="18.7109375" style="232" customWidth="1"/>
    <col min="14" max="15" width="6.7109375" style="232" customWidth="1"/>
    <col min="16" max="16" width="0.85546875" style="234" customWidth="1"/>
    <col min="17" max="17" width="3.7109375" style="234" customWidth="1"/>
    <col min="18" max="18" width="18.7109375" style="234" customWidth="1"/>
    <col min="19" max="20" width="6.7109375" style="232" customWidth="1"/>
    <col min="21" max="16384" width="8.7109375" style="232"/>
  </cols>
  <sheetData>
    <row r="1" spans="2:20" ht="5.25" customHeight="1" x14ac:dyDescent="0.2"/>
    <row r="2" spans="2:20" ht="25.5" customHeight="1" x14ac:dyDescent="0.2">
      <c r="B2" s="516" t="s">
        <v>739</v>
      </c>
      <c r="C2" s="516"/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  <c r="S2" s="516"/>
      <c r="T2" s="516"/>
    </row>
    <row r="3" spans="2:20" ht="3.2" customHeight="1" x14ac:dyDescent="0.2">
      <c r="P3" s="232"/>
      <c r="Q3" s="232"/>
      <c r="R3" s="232"/>
    </row>
    <row r="4" spans="2:20" s="238" customFormat="1" ht="9.9499999999999993" customHeight="1" x14ac:dyDescent="0.2">
      <c r="B4" s="517" t="s">
        <v>740</v>
      </c>
      <c r="C4" s="517"/>
      <c r="D4" s="517"/>
      <c r="E4" s="237">
        <f>COUNTA('[2]3ª Faixa BA, MG , SP e Atend PE'!$C$7:$C$311)</f>
        <v>283</v>
      </c>
      <c r="F4" s="236"/>
      <c r="G4" s="517" t="s">
        <v>741</v>
      </c>
      <c r="H4" s="517"/>
      <c r="I4" s="517"/>
      <c r="J4" s="237">
        <f>COUNTA(H7:H311)</f>
        <v>179</v>
      </c>
      <c r="K4" s="236"/>
      <c r="L4" s="517" t="s">
        <v>742</v>
      </c>
      <c r="M4" s="517"/>
      <c r="N4" s="517"/>
      <c r="O4" s="237">
        <f>COUNTA(M7:M282)</f>
        <v>125</v>
      </c>
      <c r="P4" s="236"/>
      <c r="Q4" s="517" t="s">
        <v>743</v>
      </c>
      <c r="R4" s="517"/>
      <c r="S4" s="517"/>
      <c r="T4" s="237">
        <f>COUNTA(R7:R291)</f>
        <v>40</v>
      </c>
    </row>
    <row r="5" spans="2:20" s="238" customFormat="1" ht="3.2" customHeight="1" x14ac:dyDescent="0.2">
      <c r="B5" s="239"/>
      <c r="C5" s="239"/>
      <c r="D5" s="239"/>
      <c r="E5" s="240"/>
      <c r="F5" s="236"/>
      <c r="G5" s="239"/>
      <c r="H5" s="239"/>
      <c r="I5" s="239"/>
      <c r="J5" s="240"/>
      <c r="K5" s="236"/>
      <c r="L5" s="239"/>
      <c r="M5" s="239"/>
      <c r="N5" s="239"/>
      <c r="O5" s="240"/>
      <c r="P5" s="236"/>
      <c r="Q5" s="239"/>
      <c r="R5" s="239"/>
      <c r="S5" s="239"/>
      <c r="T5" s="240"/>
    </row>
    <row r="6" spans="2:20" s="246" customFormat="1" x14ac:dyDescent="0.2">
      <c r="B6" s="243" t="s">
        <v>386</v>
      </c>
      <c r="C6" s="244" t="s">
        <v>387</v>
      </c>
      <c r="D6" s="244" t="s">
        <v>388</v>
      </c>
      <c r="E6" s="295" t="s">
        <v>389</v>
      </c>
      <c r="F6" s="241"/>
      <c r="G6" s="243" t="s">
        <v>386</v>
      </c>
      <c r="H6" s="244" t="s">
        <v>387</v>
      </c>
      <c r="I6" s="244" t="s">
        <v>388</v>
      </c>
      <c r="J6" s="295" t="s">
        <v>389</v>
      </c>
      <c r="K6" s="241"/>
      <c r="L6" s="296" t="s">
        <v>386</v>
      </c>
      <c r="M6" s="297" t="s">
        <v>387</v>
      </c>
      <c r="N6" s="297" t="s">
        <v>388</v>
      </c>
      <c r="O6" s="298" t="s">
        <v>389</v>
      </c>
      <c r="P6" s="299"/>
      <c r="Q6" s="300" t="s">
        <v>386</v>
      </c>
      <c r="R6" s="301" t="s">
        <v>387</v>
      </c>
      <c r="S6" s="301" t="s">
        <v>388</v>
      </c>
      <c r="T6" s="302" t="s">
        <v>389</v>
      </c>
    </row>
    <row r="7" spans="2:20" ht="11.1" customHeight="1" x14ac:dyDescent="0.2">
      <c r="B7" s="281" t="s">
        <v>478</v>
      </c>
      <c r="C7" s="272" t="s">
        <v>744</v>
      </c>
      <c r="D7" s="271">
        <v>39597000</v>
      </c>
      <c r="E7" s="282">
        <v>39597000</v>
      </c>
      <c r="F7" s="247"/>
      <c r="G7" s="281" t="s">
        <v>400</v>
      </c>
      <c r="H7" s="272" t="s">
        <v>745</v>
      </c>
      <c r="I7" s="271">
        <v>48320000</v>
      </c>
      <c r="J7" s="282">
        <v>48320000</v>
      </c>
      <c r="K7" s="247"/>
      <c r="L7" s="281" t="s">
        <v>651</v>
      </c>
      <c r="M7" s="272" t="s">
        <v>746</v>
      </c>
      <c r="N7" s="271">
        <v>18220000</v>
      </c>
      <c r="O7" s="282">
        <v>18220000</v>
      </c>
      <c r="P7" s="289"/>
      <c r="Q7" s="281" t="s">
        <v>409</v>
      </c>
      <c r="R7" s="272" t="s">
        <v>747</v>
      </c>
      <c r="S7" s="271">
        <v>56360000</v>
      </c>
      <c r="T7" s="282">
        <v>56360000</v>
      </c>
    </row>
    <row r="8" spans="2:20" ht="11.1" customHeight="1" x14ac:dyDescent="0.2">
      <c r="B8" s="283" t="s">
        <v>748</v>
      </c>
      <c r="C8" s="263" t="s">
        <v>749</v>
      </c>
      <c r="D8" s="262">
        <v>39790000</v>
      </c>
      <c r="E8" s="284">
        <v>39790000</v>
      </c>
      <c r="F8" s="247"/>
      <c r="G8" s="283" t="s">
        <v>394</v>
      </c>
      <c r="H8" s="263" t="s">
        <v>750</v>
      </c>
      <c r="I8" s="262">
        <v>46690000</v>
      </c>
      <c r="J8" s="284">
        <v>46695970</v>
      </c>
      <c r="K8" s="247"/>
      <c r="L8" s="283" t="s">
        <v>621</v>
      </c>
      <c r="M8" s="263" t="s">
        <v>751</v>
      </c>
      <c r="N8" s="262">
        <v>16900001</v>
      </c>
      <c r="O8" s="284">
        <v>16914899</v>
      </c>
      <c r="P8" s="289"/>
      <c r="Q8" s="283" t="s">
        <v>409</v>
      </c>
      <c r="R8" s="263" t="s">
        <v>752</v>
      </c>
      <c r="S8" s="262">
        <v>56280000</v>
      </c>
      <c r="T8" s="284">
        <v>56280000</v>
      </c>
    </row>
    <row r="9" spans="2:20" ht="11.1" customHeight="1" x14ac:dyDescent="0.2">
      <c r="B9" s="281" t="s">
        <v>748</v>
      </c>
      <c r="C9" s="272" t="s">
        <v>753</v>
      </c>
      <c r="D9" s="271">
        <v>39629000</v>
      </c>
      <c r="E9" s="282">
        <v>39629000</v>
      </c>
      <c r="F9" s="247"/>
      <c r="G9" s="281" t="s">
        <v>409</v>
      </c>
      <c r="H9" s="272" t="s">
        <v>754</v>
      </c>
      <c r="I9" s="271">
        <v>48680000</v>
      </c>
      <c r="J9" s="282">
        <v>48680959</v>
      </c>
      <c r="K9" s="247"/>
      <c r="L9" s="281" t="s">
        <v>629</v>
      </c>
      <c r="M9" s="272" t="s">
        <v>755</v>
      </c>
      <c r="N9" s="271">
        <v>18240000</v>
      </c>
      <c r="O9" s="282">
        <v>18240000</v>
      </c>
      <c r="P9" s="289"/>
      <c r="Q9" s="281" t="s">
        <v>409</v>
      </c>
      <c r="R9" s="272" t="s">
        <v>756</v>
      </c>
      <c r="S9" s="271">
        <v>56440000</v>
      </c>
      <c r="T9" s="282">
        <v>56440000</v>
      </c>
    </row>
    <row r="10" spans="2:20" ht="11.1" customHeight="1" x14ac:dyDescent="0.2">
      <c r="B10" s="283" t="s">
        <v>748</v>
      </c>
      <c r="C10" s="263" t="s">
        <v>757</v>
      </c>
      <c r="D10" s="262">
        <v>39880000</v>
      </c>
      <c r="E10" s="284">
        <v>39880000</v>
      </c>
      <c r="F10" s="247"/>
      <c r="G10" s="283" t="s">
        <v>419</v>
      </c>
      <c r="H10" s="263" t="s">
        <v>758</v>
      </c>
      <c r="I10" s="262">
        <v>45112000</v>
      </c>
      <c r="J10" s="284">
        <v>45112000</v>
      </c>
      <c r="K10" s="247"/>
      <c r="L10" s="283" t="s">
        <v>640</v>
      </c>
      <c r="M10" s="263" t="s">
        <v>759</v>
      </c>
      <c r="N10" s="262">
        <v>15735000</v>
      </c>
      <c r="O10" s="284">
        <v>15735000</v>
      </c>
      <c r="P10" s="289"/>
      <c r="Q10" s="283" t="s">
        <v>409</v>
      </c>
      <c r="R10" s="263" t="s">
        <v>760</v>
      </c>
      <c r="S10" s="262">
        <v>56670000</v>
      </c>
      <c r="T10" s="284">
        <v>56670000</v>
      </c>
    </row>
    <row r="11" spans="2:20" ht="11.1" customHeight="1" x14ac:dyDescent="0.2">
      <c r="B11" s="281" t="s">
        <v>748</v>
      </c>
      <c r="C11" s="272" t="s">
        <v>761</v>
      </c>
      <c r="D11" s="271">
        <v>39990000</v>
      </c>
      <c r="E11" s="282">
        <v>39990000</v>
      </c>
      <c r="F11" s="247"/>
      <c r="G11" s="281" t="s">
        <v>409</v>
      </c>
      <c r="H11" s="272" t="s">
        <v>762</v>
      </c>
      <c r="I11" s="271">
        <v>48912000</v>
      </c>
      <c r="J11" s="282">
        <v>48912000</v>
      </c>
      <c r="K11" s="247"/>
      <c r="L11" s="281" t="s">
        <v>629</v>
      </c>
      <c r="M11" s="272" t="s">
        <v>763</v>
      </c>
      <c r="N11" s="271">
        <v>18320000</v>
      </c>
      <c r="O11" s="282">
        <v>18320970</v>
      </c>
      <c r="P11" s="289"/>
      <c r="Q11" s="281" t="s">
        <v>409</v>
      </c>
      <c r="R11" s="272" t="s">
        <v>764</v>
      </c>
      <c r="S11" s="271">
        <v>56220000</v>
      </c>
      <c r="T11" s="282">
        <v>56220000</v>
      </c>
    </row>
    <row r="12" spans="2:20" ht="11.1" customHeight="1" x14ac:dyDescent="0.2">
      <c r="B12" s="283" t="s">
        <v>748</v>
      </c>
      <c r="C12" s="263" t="s">
        <v>765</v>
      </c>
      <c r="D12" s="262">
        <v>39900000</v>
      </c>
      <c r="E12" s="284">
        <v>39900000</v>
      </c>
      <c r="F12" s="247"/>
      <c r="G12" s="283" t="s">
        <v>400</v>
      </c>
      <c r="H12" s="263" t="s">
        <v>766</v>
      </c>
      <c r="I12" s="262">
        <v>42840000</v>
      </c>
      <c r="J12" s="284">
        <v>42840971</v>
      </c>
      <c r="K12" s="247"/>
      <c r="L12" s="283" t="s">
        <v>670</v>
      </c>
      <c r="M12" s="263" t="s">
        <v>767</v>
      </c>
      <c r="N12" s="262">
        <v>12870000</v>
      </c>
      <c r="O12" s="284">
        <v>12870970</v>
      </c>
      <c r="P12" s="289"/>
      <c r="Q12" s="283" t="s">
        <v>409</v>
      </c>
      <c r="R12" s="263" t="s">
        <v>768</v>
      </c>
      <c r="S12" s="262">
        <v>56180000</v>
      </c>
      <c r="T12" s="284">
        <v>56180000</v>
      </c>
    </row>
    <row r="13" spans="2:20" ht="11.1" customHeight="1" x14ac:dyDescent="0.2">
      <c r="B13" s="281" t="s">
        <v>478</v>
      </c>
      <c r="C13" s="272" t="s">
        <v>769</v>
      </c>
      <c r="D13" s="271">
        <v>39394000</v>
      </c>
      <c r="E13" s="282">
        <v>39394000</v>
      </c>
      <c r="F13" s="247"/>
      <c r="G13" s="281" t="s">
        <v>400</v>
      </c>
      <c r="H13" s="272" t="s">
        <v>770</v>
      </c>
      <c r="I13" s="271">
        <v>48288000</v>
      </c>
      <c r="J13" s="282">
        <v>48288970</v>
      </c>
      <c r="K13" s="247"/>
      <c r="L13" s="281" t="s">
        <v>670</v>
      </c>
      <c r="M13" s="272" t="s">
        <v>771</v>
      </c>
      <c r="N13" s="271">
        <v>12820000</v>
      </c>
      <c r="O13" s="282">
        <v>12820970</v>
      </c>
      <c r="P13" s="289"/>
      <c r="Q13" s="281" t="s">
        <v>409</v>
      </c>
      <c r="R13" s="272" t="s">
        <v>772</v>
      </c>
      <c r="S13" s="271">
        <v>56420000</v>
      </c>
      <c r="T13" s="282">
        <v>56420000</v>
      </c>
    </row>
    <row r="14" spans="2:20" ht="11.1" customHeight="1" x14ac:dyDescent="0.2">
      <c r="B14" s="283" t="s">
        <v>478</v>
      </c>
      <c r="C14" s="263" t="s">
        <v>773</v>
      </c>
      <c r="D14" s="262">
        <v>39347000</v>
      </c>
      <c r="E14" s="284">
        <v>39347000</v>
      </c>
      <c r="F14" s="247"/>
      <c r="G14" s="283" t="s">
        <v>774</v>
      </c>
      <c r="H14" s="263" t="s">
        <v>775</v>
      </c>
      <c r="I14" s="262">
        <v>47645000</v>
      </c>
      <c r="J14" s="284">
        <v>47645000</v>
      </c>
      <c r="K14" s="247"/>
      <c r="L14" s="283" t="s">
        <v>640</v>
      </c>
      <c r="M14" s="263" t="s">
        <v>776</v>
      </c>
      <c r="N14" s="262">
        <v>15350000</v>
      </c>
      <c r="O14" s="284">
        <v>15350970</v>
      </c>
      <c r="P14" s="289"/>
      <c r="Q14" s="283" t="s">
        <v>409</v>
      </c>
      <c r="R14" s="263" t="s">
        <v>777</v>
      </c>
      <c r="S14" s="262">
        <v>56130000</v>
      </c>
      <c r="T14" s="284">
        <v>56130000</v>
      </c>
    </row>
    <row r="15" spans="2:20" ht="11.1" customHeight="1" x14ac:dyDescent="0.2">
      <c r="B15" s="281" t="s">
        <v>748</v>
      </c>
      <c r="C15" s="272" t="s">
        <v>778</v>
      </c>
      <c r="D15" s="271">
        <v>39685000</v>
      </c>
      <c r="E15" s="282">
        <v>39685000</v>
      </c>
      <c r="F15" s="247"/>
      <c r="G15" s="281" t="s">
        <v>400</v>
      </c>
      <c r="H15" s="272" t="s">
        <v>779</v>
      </c>
      <c r="I15" s="271">
        <v>44218000</v>
      </c>
      <c r="J15" s="282">
        <v>44218000</v>
      </c>
      <c r="K15" s="247"/>
      <c r="L15" s="281" t="s">
        <v>670</v>
      </c>
      <c r="M15" s="272" t="s">
        <v>780</v>
      </c>
      <c r="N15" s="271">
        <v>12850000</v>
      </c>
      <c r="O15" s="282">
        <v>12850971</v>
      </c>
      <c r="P15" s="289"/>
      <c r="Q15" s="281" t="s">
        <v>409</v>
      </c>
      <c r="R15" s="272" t="s">
        <v>781</v>
      </c>
      <c r="S15" s="271">
        <v>56355000</v>
      </c>
      <c r="T15" s="282">
        <v>56355000</v>
      </c>
    </row>
    <row r="16" spans="2:20" ht="11.1" customHeight="1" x14ac:dyDescent="0.2">
      <c r="B16" s="283" t="s">
        <v>478</v>
      </c>
      <c r="C16" s="263" t="s">
        <v>782</v>
      </c>
      <c r="D16" s="262">
        <v>39332000</v>
      </c>
      <c r="E16" s="284">
        <v>39332000</v>
      </c>
      <c r="F16" s="247"/>
      <c r="G16" s="283" t="s">
        <v>394</v>
      </c>
      <c r="H16" s="263" t="s">
        <v>783</v>
      </c>
      <c r="I16" s="262">
        <v>46965000</v>
      </c>
      <c r="J16" s="284">
        <v>46965000</v>
      </c>
      <c r="K16" s="247"/>
      <c r="L16" s="283" t="s">
        <v>629</v>
      </c>
      <c r="M16" s="263" t="s">
        <v>784</v>
      </c>
      <c r="N16" s="262">
        <v>18490000</v>
      </c>
      <c r="O16" s="284">
        <v>18490000</v>
      </c>
      <c r="P16" s="289"/>
      <c r="Q16" s="283" t="s">
        <v>409</v>
      </c>
      <c r="R16" s="263" t="s">
        <v>785</v>
      </c>
      <c r="S16" s="262">
        <v>56230000</v>
      </c>
      <c r="T16" s="284">
        <v>56230000</v>
      </c>
    </row>
    <row r="17" spans="2:20" ht="11.1" customHeight="1" x14ac:dyDescent="0.2">
      <c r="B17" s="281" t="s">
        <v>748</v>
      </c>
      <c r="C17" s="272" t="s">
        <v>786</v>
      </c>
      <c r="D17" s="271">
        <v>39697000</v>
      </c>
      <c r="E17" s="282">
        <v>39697000</v>
      </c>
      <c r="F17" s="247"/>
      <c r="G17" s="281" t="s">
        <v>787</v>
      </c>
      <c r="H17" s="272" t="s">
        <v>788</v>
      </c>
      <c r="I17" s="271">
        <v>47505000</v>
      </c>
      <c r="J17" s="282">
        <v>47505000</v>
      </c>
      <c r="K17" s="247"/>
      <c r="L17" s="281" t="s">
        <v>629</v>
      </c>
      <c r="M17" s="272" t="s">
        <v>789</v>
      </c>
      <c r="N17" s="271">
        <v>18325000</v>
      </c>
      <c r="O17" s="282">
        <v>18325000</v>
      </c>
      <c r="P17" s="289"/>
      <c r="Q17" s="281" t="s">
        <v>409</v>
      </c>
      <c r="R17" s="272" t="s">
        <v>790</v>
      </c>
      <c r="S17" s="271">
        <v>56400000</v>
      </c>
      <c r="T17" s="282">
        <v>56400000</v>
      </c>
    </row>
    <row r="18" spans="2:20" ht="11.1" customHeight="1" x14ac:dyDescent="0.2">
      <c r="B18" s="283" t="s">
        <v>748</v>
      </c>
      <c r="C18" s="263" t="s">
        <v>791</v>
      </c>
      <c r="D18" s="262">
        <v>39600000</v>
      </c>
      <c r="E18" s="284">
        <v>39600000</v>
      </c>
      <c r="F18" s="247"/>
      <c r="G18" s="283" t="s">
        <v>419</v>
      </c>
      <c r="H18" s="263" t="s">
        <v>792</v>
      </c>
      <c r="I18" s="262">
        <v>46203000</v>
      </c>
      <c r="J18" s="284">
        <v>46203000</v>
      </c>
      <c r="K18" s="247"/>
      <c r="L18" s="283" t="s">
        <v>648</v>
      </c>
      <c r="M18" s="263" t="s">
        <v>793</v>
      </c>
      <c r="N18" s="262">
        <v>11955000</v>
      </c>
      <c r="O18" s="284">
        <v>11955970</v>
      </c>
      <c r="P18" s="289"/>
      <c r="Q18" s="283" t="s">
        <v>409</v>
      </c>
      <c r="R18" s="263" t="s">
        <v>794</v>
      </c>
      <c r="S18" s="262">
        <v>56160000</v>
      </c>
      <c r="T18" s="284">
        <v>56160000</v>
      </c>
    </row>
    <row r="19" spans="2:20" ht="11.1" customHeight="1" x14ac:dyDescent="0.2">
      <c r="B19" s="281" t="s">
        <v>748</v>
      </c>
      <c r="C19" s="272" t="s">
        <v>795</v>
      </c>
      <c r="D19" s="271">
        <v>39678000</v>
      </c>
      <c r="E19" s="282">
        <v>39678000</v>
      </c>
      <c r="F19" s="247"/>
      <c r="G19" s="281" t="s">
        <v>796</v>
      </c>
      <c r="H19" s="272" t="s">
        <v>797</v>
      </c>
      <c r="I19" s="271">
        <v>44910000</v>
      </c>
      <c r="J19" s="282">
        <v>44914000</v>
      </c>
      <c r="K19" s="247"/>
      <c r="L19" s="281" t="s">
        <v>619</v>
      </c>
      <c r="M19" s="272" t="s">
        <v>798</v>
      </c>
      <c r="N19" s="271">
        <v>18960000</v>
      </c>
      <c r="O19" s="282">
        <v>18960142</v>
      </c>
      <c r="P19" s="289"/>
      <c r="Q19" s="281" t="s">
        <v>409</v>
      </c>
      <c r="R19" s="272" t="s">
        <v>799</v>
      </c>
      <c r="S19" s="271">
        <v>56260000</v>
      </c>
      <c r="T19" s="282">
        <v>56260000</v>
      </c>
    </row>
    <row r="20" spans="2:20" ht="11.1" customHeight="1" x14ac:dyDescent="0.2">
      <c r="B20" s="283" t="s">
        <v>800</v>
      </c>
      <c r="C20" s="263" t="s">
        <v>801</v>
      </c>
      <c r="D20" s="262">
        <v>38680000</v>
      </c>
      <c r="E20" s="284">
        <v>38680000</v>
      </c>
      <c r="F20" s="247"/>
      <c r="G20" s="283" t="s">
        <v>802</v>
      </c>
      <c r="H20" s="263" t="s">
        <v>803</v>
      </c>
      <c r="I20" s="262">
        <v>48990000</v>
      </c>
      <c r="J20" s="284">
        <v>48990000</v>
      </c>
      <c r="K20" s="247"/>
      <c r="L20" s="283" t="s">
        <v>635</v>
      </c>
      <c r="M20" s="263" t="s">
        <v>804</v>
      </c>
      <c r="N20" s="262">
        <v>11250000</v>
      </c>
      <c r="O20" s="284">
        <v>11271255</v>
      </c>
      <c r="P20" s="289"/>
      <c r="Q20" s="283" t="s">
        <v>409</v>
      </c>
      <c r="R20" s="263" t="s">
        <v>805</v>
      </c>
      <c r="S20" s="262">
        <v>56430000</v>
      </c>
      <c r="T20" s="284">
        <v>56430000</v>
      </c>
    </row>
    <row r="21" spans="2:20" ht="11.1" customHeight="1" x14ac:dyDescent="0.2">
      <c r="B21" s="281" t="s">
        <v>478</v>
      </c>
      <c r="C21" s="272" t="s">
        <v>806</v>
      </c>
      <c r="D21" s="271">
        <v>39341000</v>
      </c>
      <c r="E21" s="282">
        <v>39341000</v>
      </c>
      <c r="F21" s="247"/>
      <c r="G21" s="281" t="s">
        <v>397</v>
      </c>
      <c r="H21" s="272" t="s">
        <v>807</v>
      </c>
      <c r="I21" s="271">
        <v>47960000</v>
      </c>
      <c r="J21" s="282">
        <v>47966970</v>
      </c>
      <c r="K21" s="247"/>
      <c r="L21" s="281" t="s">
        <v>629</v>
      </c>
      <c r="M21" s="272" t="s">
        <v>808</v>
      </c>
      <c r="N21" s="271">
        <v>18475000</v>
      </c>
      <c r="O21" s="282">
        <v>18475000</v>
      </c>
      <c r="P21" s="289"/>
      <c r="Q21" s="281" t="s">
        <v>409</v>
      </c>
      <c r="R21" s="272" t="s">
        <v>809</v>
      </c>
      <c r="S21" s="271">
        <v>56470000</v>
      </c>
      <c r="T21" s="282">
        <v>56470000</v>
      </c>
    </row>
    <row r="22" spans="2:20" ht="11.1" customHeight="1" x14ac:dyDescent="0.2">
      <c r="B22" s="283" t="s">
        <v>748</v>
      </c>
      <c r="C22" s="263" t="s">
        <v>810</v>
      </c>
      <c r="D22" s="262">
        <v>39850000</v>
      </c>
      <c r="E22" s="284">
        <v>39850000</v>
      </c>
      <c r="F22" s="247"/>
      <c r="G22" s="283" t="s">
        <v>802</v>
      </c>
      <c r="H22" s="263" t="s">
        <v>811</v>
      </c>
      <c r="I22" s="262">
        <v>44780000</v>
      </c>
      <c r="J22" s="284">
        <v>44780000</v>
      </c>
      <c r="K22" s="247"/>
      <c r="L22" s="283" t="s">
        <v>629</v>
      </c>
      <c r="M22" s="263" t="s">
        <v>812</v>
      </c>
      <c r="N22" s="262">
        <v>18290000</v>
      </c>
      <c r="O22" s="284">
        <v>18290000</v>
      </c>
      <c r="P22" s="289"/>
      <c r="Q22" s="283" t="s">
        <v>409</v>
      </c>
      <c r="R22" s="263" t="s">
        <v>813</v>
      </c>
      <c r="S22" s="262">
        <v>56395000</v>
      </c>
      <c r="T22" s="284">
        <v>56395000</v>
      </c>
    </row>
    <row r="23" spans="2:20" ht="11.1" customHeight="1" x14ac:dyDescent="0.2">
      <c r="B23" s="281" t="s">
        <v>478</v>
      </c>
      <c r="C23" s="272" t="s">
        <v>814</v>
      </c>
      <c r="D23" s="271">
        <v>39220000</v>
      </c>
      <c r="E23" s="282">
        <v>39220000</v>
      </c>
      <c r="F23" s="247"/>
      <c r="G23" s="281" t="s">
        <v>397</v>
      </c>
      <c r="H23" s="272" t="s">
        <v>815</v>
      </c>
      <c r="I23" s="271">
        <v>47830000</v>
      </c>
      <c r="J23" s="282">
        <v>47830970</v>
      </c>
      <c r="K23" s="247"/>
      <c r="L23" s="281" t="s">
        <v>670</v>
      </c>
      <c r="M23" s="272" t="s">
        <v>816</v>
      </c>
      <c r="N23" s="271">
        <v>12630000</v>
      </c>
      <c r="O23" s="282">
        <v>12630971</v>
      </c>
      <c r="P23" s="289"/>
      <c r="Q23" s="281" t="s">
        <v>409</v>
      </c>
      <c r="R23" s="272" t="s">
        <v>817</v>
      </c>
      <c r="S23" s="271">
        <v>56980000</v>
      </c>
      <c r="T23" s="282">
        <v>56980000</v>
      </c>
    </row>
    <row r="24" spans="2:20" ht="11.1" customHeight="1" x14ac:dyDescent="0.2">
      <c r="B24" s="283" t="s">
        <v>748</v>
      </c>
      <c r="C24" s="263" t="s">
        <v>818</v>
      </c>
      <c r="D24" s="262">
        <v>39931000</v>
      </c>
      <c r="E24" s="284">
        <v>39931000</v>
      </c>
      <c r="F24" s="247"/>
      <c r="G24" s="283" t="s">
        <v>796</v>
      </c>
      <c r="H24" s="263" t="s">
        <v>819</v>
      </c>
      <c r="I24" s="262">
        <v>46920000</v>
      </c>
      <c r="J24" s="284">
        <v>46920000</v>
      </c>
      <c r="K24" s="247"/>
      <c r="L24" s="283" t="s">
        <v>678</v>
      </c>
      <c r="M24" s="263" t="s">
        <v>820</v>
      </c>
      <c r="N24" s="262">
        <v>19450000</v>
      </c>
      <c r="O24" s="284">
        <v>19450000</v>
      </c>
      <c r="P24" s="289"/>
      <c r="Q24" s="283" t="s">
        <v>409</v>
      </c>
      <c r="R24" s="263" t="s">
        <v>821</v>
      </c>
      <c r="S24" s="262">
        <v>56150000</v>
      </c>
      <c r="T24" s="284">
        <v>56150000</v>
      </c>
    </row>
    <row r="25" spans="2:20" ht="11.1" customHeight="1" x14ac:dyDescent="0.2">
      <c r="B25" s="281" t="s">
        <v>748</v>
      </c>
      <c r="C25" s="272" t="s">
        <v>822</v>
      </c>
      <c r="D25" s="271">
        <v>39877000</v>
      </c>
      <c r="E25" s="282">
        <v>39877000</v>
      </c>
      <c r="F25" s="247"/>
      <c r="G25" s="281" t="s">
        <v>796</v>
      </c>
      <c r="H25" s="272" t="s">
        <v>823</v>
      </c>
      <c r="I25" s="271">
        <v>47100000</v>
      </c>
      <c r="J25" s="282">
        <v>47100970</v>
      </c>
      <c r="K25" s="247"/>
      <c r="L25" s="281" t="s">
        <v>648</v>
      </c>
      <c r="M25" s="272" t="s">
        <v>824</v>
      </c>
      <c r="N25" s="271">
        <v>11950000</v>
      </c>
      <c r="O25" s="282">
        <v>11950970</v>
      </c>
      <c r="P25" s="289"/>
      <c r="Q25" s="281" t="s">
        <v>409</v>
      </c>
      <c r="R25" s="272" t="s">
        <v>825</v>
      </c>
      <c r="S25" s="271">
        <v>56285000</v>
      </c>
      <c r="T25" s="282">
        <v>56285000</v>
      </c>
    </row>
    <row r="26" spans="2:20" ht="11.1" customHeight="1" x14ac:dyDescent="0.2">
      <c r="B26" s="283" t="s">
        <v>748</v>
      </c>
      <c r="C26" s="263" t="s">
        <v>826</v>
      </c>
      <c r="D26" s="262">
        <v>39917000</v>
      </c>
      <c r="E26" s="284">
        <v>39917000</v>
      </c>
      <c r="F26" s="247"/>
      <c r="G26" s="283" t="s">
        <v>796</v>
      </c>
      <c r="H26" s="263" t="s">
        <v>827</v>
      </c>
      <c r="I26" s="262">
        <v>44990000</v>
      </c>
      <c r="J26" s="284">
        <v>44990970</v>
      </c>
      <c r="K26" s="247"/>
      <c r="L26" s="283" t="s">
        <v>629</v>
      </c>
      <c r="M26" s="263" t="s">
        <v>828</v>
      </c>
      <c r="N26" s="262">
        <v>18245000</v>
      </c>
      <c r="O26" s="284">
        <v>18245000</v>
      </c>
      <c r="P26" s="289"/>
      <c r="Q26" s="283" t="s">
        <v>409</v>
      </c>
      <c r="R26" s="263" t="s">
        <v>829</v>
      </c>
      <c r="S26" s="262">
        <v>56170000</v>
      </c>
      <c r="T26" s="284">
        <v>56170000</v>
      </c>
    </row>
    <row r="27" spans="2:20" ht="11.1" customHeight="1" x14ac:dyDescent="0.2">
      <c r="B27" s="281" t="s">
        <v>478</v>
      </c>
      <c r="C27" s="272" t="s">
        <v>830</v>
      </c>
      <c r="D27" s="271">
        <v>39526700</v>
      </c>
      <c r="E27" s="282">
        <v>39526700</v>
      </c>
      <c r="F27" s="247"/>
      <c r="G27" s="281" t="s">
        <v>802</v>
      </c>
      <c r="H27" s="272" t="s">
        <v>831</v>
      </c>
      <c r="I27" s="271">
        <v>44757000</v>
      </c>
      <c r="J27" s="282">
        <v>44757000</v>
      </c>
      <c r="K27" s="247"/>
      <c r="L27" s="281" t="s">
        <v>648</v>
      </c>
      <c r="M27" s="272" t="s">
        <v>832</v>
      </c>
      <c r="N27" s="271">
        <v>11990000</v>
      </c>
      <c r="O27" s="282">
        <v>11995970</v>
      </c>
      <c r="P27" s="289"/>
      <c r="Q27" s="281" t="s">
        <v>409</v>
      </c>
      <c r="R27" s="272" t="s">
        <v>833</v>
      </c>
      <c r="S27" s="271">
        <v>56200000</v>
      </c>
      <c r="T27" s="282">
        <v>56200000</v>
      </c>
    </row>
    <row r="28" spans="2:20" ht="11.1" customHeight="1" x14ac:dyDescent="0.2">
      <c r="B28" s="283" t="s">
        <v>478</v>
      </c>
      <c r="C28" s="263" t="s">
        <v>834</v>
      </c>
      <c r="D28" s="262">
        <v>39442000</v>
      </c>
      <c r="E28" s="284">
        <v>39442000</v>
      </c>
      <c r="F28" s="247"/>
      <c r="G28" s="283" t="s">
        <v>397</v>
      </c>
      <c r="H28" s="263" t="s">
        <v>398</v>
      </c>
      <c r="I28" s="262">
        <v>47800001</v>
      </c>
      <c r="J28" s="284">
        <v>47819899</v>
      </c>
      <c r="K28" s="247"/>
      <c r="L28" s="283" t="s">
        <v>670</v>
      </c>
      <c r="M28" s="263" t="s">
        <v>835</v>
      </c>
      <c r="N28" s="262">
        <v>12615000</v>
      </c>
      <c r="O28" s="284">
        <v>12615970</v>
      </c>
      <c r="P28" s="289"/>
      <c r="Q28" s="283" t="s">
        <v>409</v>
      </c>
      <c r="R28" s="263" t="s">
        <v>836</v>
      </c>
      <c r="S28" s="262">
        <v>56163000</v>
      </c>
      <c r="T28" s="284">
        <v>56163000</v>
      </c>
    </row>
    <row r="29" spans="2:20" ht="11.1" customHeight="1" x14ac:dyDescent="0.2">
      <c r="B29" s="281" t="s">
        <v>478</v>
      </c>
      <c r="C29" s="272" t="s">
        <v>837</v>
      </c>
      <c r="D29" s="271">
        <v>39441000</v>
      </c>
      <c r="E29" s="282">
        <v>39441000</v>
      </c>
      <c r="F29" s="247"/>
      <c r="G29" s="281" t="s">
        <v>796</v>
      </c>
      <c r="H29" s="272" t="s">
        <v>838</v>
      </c>
      <c r="I29" s="271">
        <v>44895000</v>
      </c>
      <c r="J29" s="282">
        <v>44895973</v>
      </c>
      <c r="K29" s="247"/>
      <c r="L29" s="281" t="s">
        <v>619</v>
      </c>
      <c r="M29" s="272" t="s">
        <v>839</v>
      </c>
      <c r="N29" s="271">
        <v>18990000</v>
      </c>
      <c r="O29" s="282">
        <v>18990474</v>
      </c>
      <c r="P29" s="289"/>
      <c r="Q29" s="281" t="s">
        <v>409</v>
      </c>
      <c r="R29" s="272" t="s">
        <v>840</v>
      </c>
      <c r="S29" s="271">
        <v>56460000</v>
      </c>
      <c r="T29" s="282">
        <v>56460000</v>
      </c>
    </row>
    <row r="30" spans="2:20" ht="11.1" customHeight="1" x14ac:dyDescent="0.2">
      <c r="B30" s="283" t="s">
        <v>478</v>
      </c>
      <c r="C30" s="263" t="s">
        <v>841</v>
      </c>
      <c r="D30" s="262">
        <v>39572000</v>
      </c>
      <c r="E30" s="284">
        <v>39572000</v>
      </c>
      <c r="F30" s="247"/>
      <c r="G30" s="283" t="s">
        <v>796</v>
      </c>
      <c r="H30" s="263" t="s">
        <v>842</v>
      </c>
      <c r="I30" s="262">
        <v>46745000</v>
      </c>
      <c r="J30" s="284">
        <v>46745000</v>
      </c>
      <c r="K30" s="247"/>
      <c r="L30" s="283" t="s">
        <v>629</v>
      </c>
      <c r="M30" s="263" t="s">
        <v>630</v>
      </c>
      <c r="N30" s="262">
        <v>18300005</v>
      </c>
      <c r="O30" s="284">
        <v>18308899</v>
      </c>
      <c r="P30" s="289"/>
      <c r="Q30" s="283" t="s">
        <v>409</v>
      </c>
      <c r="R30" s="263" t="s">
        <v>843</v>
      </c>
      <c r="S30" s="262">
        <v>56302000</v>
      </c>
      <c r="T30" s="284">
        <v>56334899</v>
      </c>
    </row>
    <row r="31" spans="2:20" ht="11.1" customHeight="1" x14ac:dyDescent="0.2">
      <c r="B31" s="281" t="s">
        <v>478</v>
      </c>
      <c r="C31" s="272" t="s">
        <v>844</v>
      </c>
      <c r="D31" s="271">
        <v>39325000</v>
      </c>
      <c r="E31" s="282">
        <v>39325000</v>
      </c>
      <c r="F31" s="247"/>
      <c r="G31" s="281" t="s">
        <v>419</v>
      </c>
      <c r="H31" s="272" t="s">
        <v>845</v>
      </c>
      <c r="I31" s="271">
        <v>45160000</v>
      </c>
      <c r="J31" s="282">
        <v>45160970</v>
      </c>
      <c r="K31" s="247"/>
      <c r="L31" s="281" t="s">
        <v>621</v>
      </c>
      <c r="M31" s="272" t="s">
        <v>846</v>
      </c>
      <c r="N31" s="271">
        <v>16920000</v>
      </c>
      <c r="O31" s="282">
        <v>16920970</v>
      </c>
      <c r="P31" s="289"/>
      <c r="Q31" s="281" t="s">
        <v>409</v>
      </c>
      <c r="R31" s="272" t="s">
        <v>847</v>
      </c>
      <c r="S31" s="271">
        <v>56345000</v>
      </c>
      <c r="T31" s="282">
        <v>56345000</v>
      </c>
    </row>
    <row r="32" spans="2:20" x14ac:dyDescent="0.2">
      <c r="B32" s="283" t="s">
        <v>748</v>
      </c>
      <c r="C32" s="263" t="s">
        <v>848</v>
      </c>
      <c r="D32" s="262">
        <v>39640000</v>
      </c>
      <c r="E32" s="284">
        <v>39640000</v>
      </c>
      <c r="F32" s="247"/>
      <c r="G32" s="283" t="s">
        <v>787</v>
      </c>
      <c r="H32" s="263" t="s">
        <v>849</v>
      </c>
      <c r="I32" s="262">
        <v>47525000</v>
      </c>
      <c r="J32" s="284">
        <v>47525000</v>
      </c>
      <c r="K32" s="247"/>
      <c r="L32" s="283" t="s">
        <v>651</v>
      </c>
      <c r="M32" s="263" t="s">
        <v>850</v>
      </c>
      <c r="N32" s="262">
        <v>18285000</v>
      </c>
      <c r="O32" s="284">
        <v>18285901</v>
      </c>
      <c r="P32" s="289"/>
      <c r="Q32" s="283" t="s">
        <v>409</v>
      </c>
      <c r="R32" s="263" t="s">
        <v>851</v>
      </c>
      <c r="S32" s="262">
        <v>56000000</v>
      </c>
      <c r="T32" s="284">
        <v>56000970</v>
      </c>
    </row>
    <row r="33" spans="2:20" ht="11.1" customHeight="1" x14ac:dyDescent="0.2">
      <c r="B33" s="281" t="s">
        <v>478</v>
      </c>
      <c r="C33" s="272" t="s">
        <v>852</v>
      </c>
      <c r="D33" s="271">
        <v>39555000</v>
      </c>
      <c r="E33" s="282">
        <v>39555000</v>
      </c>
      <c r="F33" s="247"/>
      <c r="G33" s="281" t="s">
        <v>774</v>
      </c>
      <c r="H33" s="272" t="s">
        <v>853</v>
      </c>
      <c r="I33" s="271">
        <v>47600000</v>
      </c>
      <c r="J33" s="282">
        <v>47600970</v>
      </c>
      <c r="K33" s="247"/>
      <c r="L33" s="281" t="s">
        <v>629</v>
      </c>
      <c r="M33" s="272" t="s">
        <v>854</v>
      </c>
      <c r="N33" s="271">
        <v>18745000</v>
      </c>
      <c r="O33" s="282">
        <v>18745000</v>
      </c>
      <c r="P33" s="289"/>
      <c r="Q33" s="281" t="s">
        <v>409</v>
      </c>
      <c r="R33" s="272" t="s">
        <v>855</v>
      </c>
      <c r="S33" s="271">
        <v>56215000</v>
      </c>
      <c r="T33" s="282">
        <v>56215000</v>
      </c>
    </row>
    <row r="34" spans="2:20" ht="11.1" customHeight="1" x14ac:dyDescent="0.2">
      <c r="B34" s="283" t="s">
        <v>748</v>
      </c>
      <c r="C34" s="263" t="s">
        <v>856</v>
      </c>
      <c r="D34" s="262">
        <v>39875000</v>
      </c>
      <c r="E34" s="284">
        <v>39875000</v>
      </c>
      <c r="F34" s="247"/>
      <c r="G34" s="283" t="s">
        <v>787</v>
      </c>
      <c r="H34" s="263" t="s">
        <v>857</v>
      </c>
      <c r="I34" s="262">
        <v>47540000</v>
      </c>
      <c r="J34" s="284">
        <v>47540000</v>
      </c>
      <c r="K34" s="247"/>
      <c r="L34" s="283" t="s">
        <v>670</v>
      </c>
      <c r="M34" s="263" t="s">
        <v>858</v>
      </c>
      <c r="N34" s="262">
        <v>12701000</v>
      </c>
      <c r="O34" s="284">
        <v>12759899</v>
      </c>
      <c r="P34" s="289"/>
      <c r="Q34" s="283" t="s">
        <v>409</v>
      </c>
      <c r="R34" s="263" t="s">
        <v>859</v>
      </c>
      <c r="S34" s="262">
        <v>56895000</v>
      </c>
      <c r="T34" s="284">
        <v>56895000</v>
      </c>
    </row>
    <row r="35" spans="2:20" ht="11.1" customHeight="1" x14ac:dyDescent="0.2">
      <c r="B35" s="281" t="s">
        <v>478</v>
      </c>
      <c r="C35" s="272" t="s">
        <v>860</v>
      </c>
      <c r="D35" s="271">
        <v>39390000</v>
      </c>
      <c r="E35" s="282">
        <v>39390000</v>
      </c>
      <c r="F35" s="247"/>
      <c r="G35" s="281" t="s">
        <v>394</v>
      </c>
      <c r="H35" s="272" t="s">
        <v>861</v>
      </c>
      <c r="I35" s="271">
        <v>46740000</v>
      </c>
      <c r="J35" s="282">
        <v>46740970</v>
      </c>
      <c r="K35" s="247"/>
      <c r="L35" s="281" t="s">
        <v>635</v>
      </c>
      <c r="M35" s="272" t="s">
        <v>636</v>
      </c>
      <c r="N35" s="271">
        <v>11500005</v>
      </c>
      <c r="O35" s="282">
        <v>11599899</v>
      </c>
      <c r="P35" s="289"/>
      <c r="Q35" s="281" t="s">
        <v>409</v>
      </c>
      <c r="R35" s="272" t="s">
        <v>862</v>
      </c>
      <c r="S35" s="271">
        <v>56210000</v>
      </c>
      <c r="T35" s="282">
        <v>56210000</v>
      </c>
    </row>
    <row r="36" spans="2:20" ht="11.1" customHeight="1" x14ac:dyDescent="0.2">
      <c r="B36" s="283" t="s">
        <v>478</v>
      </c>
      <c r="C36" s="263" t="s">
        <v>863</v>
      </c>
      <c r="D36" s="262">
        <v>39456000</v>
      </c>
      <c r="E36" s="284">
        <v>39456000</v>
      </c>
      <c r="F36" s="247"/>
      <c r="G36" s="283" t="s">
        <v>394</v>
      </c>
      <c r="H36" s="263" t="s">
        <v>864</v>
      </c>
      <c r="I36" s="262">
        <v>46820000</v>
      </c>
      <c r="J36" s="284">
        <v>46820970</v>
      </c>
      <c r="K36" s="247"/>
      <c r="L36" s="283" t="s">
        <v>670</v>
      </c>
      <c r="M36" s="263" t="s">
        <v>865</v>
      </c>
      <c r="N36" s="262">
        <v>12530000</v>
      </c>
      <c r="O36" s="284">
        <v>12540970</v>
      </c>
      <c r="P36" s="289"/>
      <c r="Q36" s="283" t="s">
        <v>409</v>
      </c>
      <c r="R36" s="263" t="s">
        <v>866</v>
      </c>
      <c r="S36" s="262">
        <v>56380000</v>
      </c>
      <c r="T36" s="284">
        <v>56380000</v>
      </c>
    </row>
    <row r="37" spans="2:20" ht="11.1" customHeight="1" x14ac:dyDescent="0.2">
      <c r="B37" s="281" t="s">
        <v>800</v>
      </c>
      <c r="C37" s="272" t="s">
        <v>867</v>
      </c>
      <c r="D37" s="271">
        <v>38650000</v>
      </c>
      <c r="E37" s="282">
        <v>38650000</v>
      </c>
      <c r="F37" s="247"/>
      <c r="G37" s="281" t="s">
        <v>787</v>
      </c>
      <c r="H37" s="272" t="s">
        <v>868</v>
      </c>
      <c r="I37" s="271">
        <v>46530000</v>
      </c>
      <c r="J37" s="282">
        <v>46530970</v>
      </c>
      <c r="K37" s="247"/>
      <c r="L37" s="281" t="s">
        <v>648</v>
      </c>
      <c r="M37" s="272" t="s">
        <v>869</v>
      </c>
      <c r="N37" s="271">
        <v>11960000</v>
      </c>
      <c r="O37" s="282">
        <v>11980970</v>
      </c>
      <c r="P37" s="289"/>
      <c r="Q37" s="281" t="s">
        <v>409</v>
      </c>
      <c r="R37" s="272" t="s">
        <v>870</v>
      </c>
      <c r="S37" s="271">
        <v>56950000</v>
      </c>
      <c r="T37" s="282">
        <v>56950000</v>
      </c>
    </row>
    <row r="38" spans="2:20" ht="11.1" customHeight="1" x14ac:dyDescent="0.2">
      <c r="B38" s="283" t="s">
        <v>478</v>
      </c>
      <c r="C38" s="263" t="s">
        <v>871</v>
      </c>
      <c r="D38" s="262">
        <v>39490000</v>
      </c>
      <c r="E38" s="284">
        <v>39490000</v>
      </c>
      <c r="F38" s="247"/>
      <c r="G38" s="283" t="s">
        <v>419</v>
      </c>
      <c r="H38" s="263" t="s">
        <v>872</v>
      </c>
      <c r="I38" s="262">
        <v>46475000</v>
      </c>
      <c r="J38" s="284">
        <v>46475000</v>
      </c>
      <c r="K38" s="247"/>
      <c r="L38" s="283" t="s">
        <v>619</v>
      </c>
      <c r="M38" s="263" t="s">
        <v>873</v>
      </c>
      <c r="N38" s="262">
        <v>18935000</v>
      </c>
      <c r="O38" s="284">
        <v>18937008</v>
      </c>
      <c r="P38" s="289"/>
      <c r="Q38" s="283" t="s">
        <v>409</v>
      </c>
      <c r="R38" s="263" t="s">
        <v>874</v>
      </c>
      <c r="S38" s="262">
        <v>56265000</v>
      </c>
      <c r="T38" s="284">
        <v>56265000</v>
      </c>
    </row>
    <row r="39" spans="2:20" ht="11.1" customHeight="1" x14ac:dyDescent="0.2">
      <c r="B39" s="281" t="s">
        <v>478</v>
      </c>
      <c r="C39" s="272" t="s">
        <v>875</v>
      </c>
      <c r="D39" s="271">
        <v>39596000</v>
      </c>
      <c r="E39" s="282">
        <v>39596000</v>
      </c>
      <c r="F39" s="247"/>
      <c r="G39" s="281" t="s">
        <v>787</v>
      </c>
      <c r="H39" s="272" t="s">
        <v>876</v>
      </c>
      <c r="I39" s="271">
        <v>46733000</v>
      </c>
      <c r="J39" s="282">
        <v>46733000</v>
      </c>
      <c r="K39" s="247"/>
      <c r="L39" s="281" t="s">
        <v>678</v>
      </c>
      <c r="M39" s="272" t="s">
        <v>877</v>
      </c>
      <c r="N39" s="271">
        <v>19230000</v>
      </c>
      <c r="O39" s="282">
        <v>19230000</v>
      </c>
      <c r="P39" s="289"/>
      <c r="Q39" s="281" t="s">
        <v>409</v>
      </c>
      <c r="R39" s="272" t="s">
        <v>878</v>
      </c>
      <c r="S39" s="271">
        <v>56903000</v>
      </c>
      <c r="T39" s="282">
        <v>56915899</v>
      </c>
    </row>
    <row r="40" spans="2:20" ht="11.1" customHeight="1" x14ac:dyDescent="0.2">
      <c r="B40" s="283" t="s">
        <v>478</v>
      </c>
      <c r="C40" s="263" t="s">
        <v>879</v>
      </c>
      <c r="D40" s="262">
        <v>39330000</v>
      </c>
      <c r="E40" s="284">
        <v>39330000</v>
      </c>
      <c r="F40" s="247"/>
      <c r="G40" s="283" t="s">
        <v>397</v>
      </c>
      <c r="H40" s="263" t="s">
        <v>880</v>
      </c>
      <c r="I40" s="262">
        <v>47750000</v>
      </c>
      <c r="J40" s="284">
        <v>47750000</v>
      </c>
      <c r="K40" s="247"/>
      <c r="L40" s="283" t="s">
        <v>678</v>
      </c>
      <c r="M40" s="263" t="s">
        <v>881</v>
      </c>
      <c r="N40" s="262">
        <v>19275000</v>
      </c>
      <c r="O40" s="284">
        <v>19275000</v>
      </c>
      <c r="P40" s="289"/>
      <c r="Q40" s="283" t="s">
        <v>409</v>
      </c>
      <c r="R40" s="263" t="s">
        <v>882</v>
      </c>
      <c r="S40" s="262">
        <v>56140000</v>
      </c>
      <c r="T40" s="284">
        <v>56140000</v>
      </c>
    </row>
    <row r="41" spans="2:20" ht="11.1" customHeight="1" x14ac:dyDescent="0.2">
      <c r="B41" s="281" t="s">
        <v>478</v>
      </c>
      <c r="C41" s="272" t="s">
        <v>883</v>
      </c>
      <c r="D41" s="271">
        <v>39482000</v>
      </c>
      <c r="E41" s="282">
        <v>39482000</v>
      </c>
      <c r="F41" s="247"/>
      <c r="G41" s="281" t="s">
        <v>787</v>
      </c>
      <c r="H41" s="272" t="s">
        <v>884</v>
      </c>
      <c r="I41" s="271">
        <v>47560000</v>
      </c>
      <c r="J41" s="282">
        <v>47560970</v>
      </c>
      <c r="K41" s="247"/>
      <c r="L41" s="281" t="s">
        <v>629</v>
      </c>
      <c r="M41" s="272" t="s">
        <v>885</v>
      </c>
      <c r="N41" s="271">
        <v>18870000</v>
      </c>
      <c r="O41" s="282">
        <v>18879899</v>
      </c>
      <c r="P41" s="289"/>
      <c r="Q41" s="281" t="s">
        <v>409</v>
      </c>
      <c r="R41" s="272" t="s">
        <v>886</v>
      </c>
      <c r="S41" s="271">
        <v>56270000</v>
      </c>
      <c r="T41" s="282">
        <v>56270000</v>
      </c>
    </row>
    <row r="42" spans="2:20" ht="11.1" customHeight="1" x14ac:dyDescent="0.2">
      <c r="B42" s="283" t="s">
        <v>478</v>
      </c>
      <c r="C42" s="263" t="s">
        <v>887</v>
      </c>
      <c r="D42" s="262">
        <v>39230000</v>
      </c>
      <c r="E42" s="284">
        <v>39230000</v>
      </c>
      <c r="F42" s="247"/>
      <c r="G42" s="283" t="s">
        <v>787</v>
      </c>
      <c r="H42" s="263" t="s">
        <v>888</v>
      </c>
      <c r="I42" s="262">
        <v>46535000</v>
      </c>
      <c r="J42" s="284">
        <v>46535000</v>
      </c>
      <c r="K42" s="247"/>
      <c r="L42" s="283" t="s">
        <v>629</v>
      </c>
      <c r="M42" s="263" t="s">
        <v>889</v>
      </c>
      <c r="N42" s="262">
        <v>18310000</v>
      </c>
      <c r="O42" s="284">
        <v>18310000</v>
      </c>
      <c r="P42" s="289"/>
      <c r="Q42" s="283" t="s">
        <v>409</v>
      </c>
      <c r="R42" s="263" t="s">
        <v>890</v>
      </c>
      <c r="S42" s="262">
        <v>56480000</v>
      </c>
      <c r="T42" s="284">
        <v>56480000</v>
      </c>
    </row>
    <row r="43" spans="2:20" ht="11.1" customHeight="1" x14ac:dyDescent="0.2">
      <c r="B43" s="281" t="s">
        <v>800</v>
      </c>
      <c r="C43" s="272" t="s">
        <v>891</v>
      </c>
      <c r="D43" s="271">
        <v>38660000</v>
      </c>
      <c r="E43" s="282">
        <v>38660000</v>
      </c>
      <c r="F43" s="247"/>
      <c r="G43" s="281" t="s">
        <v>796</v>
      </c>
      <c r="H43" s="272" t="s">
        <v>892</v>
      </c>
      <c r="I43" s="271">
        <v>47120000</v>
      </c>
      <c r="J43" s="282">
        <v>47120970</v>
      </c>
      <c r="K43" s="247"/>
      <c r="L43" s="281" t="s">
        <v>621</v>
      </c>
      <c r="M43" s="272" t="s">
        <v>893</v>
      </c>
      <c r="N43" s="271">
        <v>16980000</v>
      </c>
      <c r="O43" s="282">
        <v>16980970</v>
      </c>
      <c r="P43" s="289"/>
      <c r="Q43" s="281" t="s">
        <v>409</v>
      </c>
      <c r="R43" s="272" t="s">
        <v>894</v>
      </c>
      <c r="S43" s="271">
        <v>56190000</v>
      </c>
      <c r="T43" s="282">
        <v>56190000</v>
      </c>
    </row>
    <row r="44" spans="2:20" ht="11.1" customHeight="1" x14ac:dyDescent="0.2">
      <c r="B44" s="283" t="s">
        <v>800</v>
      </c>
      <c r="C44" s="263" t="s">
        <v>895</v>
      </c>
      <c r="D44" s="262">
        <v>38625000</v>
      </c>
      <c r="E44" s="284">
        <v>38625000</v>
      </c>
      <c r="F44" s="247"/>
      <c r="G44" s="283" t="s">
        <v>394</v>
      </c>
      <c r="H44" s="263" t="s">
        <v>896</v>
      </c>
      <c r="I44" s="262">
        <v>46768000</v>
      </c>
      <c r="J44" s="284">
        <v>46768000</v>
      </c>
      <c r="K44" s="247"/>
      <c r="L44" s="283" t="s">
        <v>651</v>
      </c>
      <c r="M44" s="263" t="s">
        <v>897</v>
      </c>
      <c r="N44" s="262">
        <v>18250000</v>
      </c>
      <c r="O44" s="284">
        <v>18250970</v>
      </c>
      <c r="P44" s="289"/>
      <c r="Q44" s="283" t="s">
        <v>409</v>
      </c>
      <c r="R44" s="263" t="s">
        <v>898</v>
      </c>
      <c r="S44" s="262">
        <v>56234000</v>
      </c>
      <c r="T44" s="284">
        <v>56234000</v>
      </c>
    </row>
    <row r="45" spans="2:20" ht="11.1" customHeight="1" x14ac:dyDescent="0.2">
      <c r="B45" s="281" t="s">
        <v>748</v>
      </c>
      <c r="C45" s="272" t="s">
        <v>899</v>
      </c>
      <c r="D45" s="271">
        <v>39662000</v>
      </c>
      <c r="E45" s="282">
        <v>39662000</v>
      </c>
      <c r="F45" s="247"/>
      <c r="G45" s="281" t="s">
        <v>802</v>
      </c>
      <c r="H45" s="272" t="s">
        <v>900</v>
      </c>
      <c r="I45" s="271">
        <v>44730000</v>
      </c>
      <c r="J45" s="282">
        <v>44730000</v>
      </c>
      <c r="K45" s="247"/>
      <c r="L45" s="281" t="s">
        <v>635</v>
      </c>
      <c r="M45" s="272" t="s">
        <v>645</v>
      </c>
      <c r="N45" s="271">
        <v>11410000</v>
      </c>
      <c r="O45" s="282">
        <v>11499899</v>
      </c>
      <c r="P45" s="289"/>
      <c r="Q45" s="281" t="s">
        <v>409</v>
      </c>
      <c r="R45" s="272" t="s">
        <v>901</v>
      </c>
      <c r="S45" s="271">
        <v>56250000</v>
      </c>
      <c r="T45" s="282">
        <v>56250000</v>
      </c>
    </row>
    <row r="46" spans="2:20" ht="11.1" customHeight="1" x14ac:dyDescent="0.2">
      <c r="B46" s="283" t="s">
        <v>478</v>
      </c>
      <c r="C46" s="263" t="s">
        <v>902</v>
      </c>
      <c r="D46" s="262">
        <v>39448000</v>
      </c>
      <c r="E46" s="284">
        <v>39448000</v>
      </c>
      <c r="F46" s="247"/>
      <c r="G46" s="283" t="s">
        <v>796</v>
      </c>
      <c r="H46" s="263" t="s">
        <v>903</v>
      </c>
      <c r="I46" s="262">
        <v>44880000</v>
      </c>
      <c r="J46" s="284">
        <v>44880970</v>
      </c>
      <c r="K46" s="247"/>
      <c r="L46" s="283" t="s">
        <v>640</v>
      </c>
      <c r="M46" s="263" t="s">
        <v>904</v>
      </c>
      <c r="N46" s="262">
        <v>15355000</v>
      </c>
      <c r="O46" s="284">
        <v>15355000</v>
      </c>
      <c r="P46" s="289"/>
      <c r="Q46" s="283" t="s">
        <v>409</v>
      </c>
      <c r="R46" s="263" t="s">
        <v>905</v>
      </c>
      <c r="S46" s="262">
        <v>56120000</v>
      </c>
      <c r="T46" s="284">
        <v>56120000</v>
      </c>
    </row>
    <row r="47" spans="2:20" ht="11.1" customHeight="1" x14ac:dyDescent="0.2">
      <c r="B47" s="281" t="s">
        <v>748</v>
      </c>
      <c r="C47" s="272" t="s">
        <v>906</v>
      </c>
      <c r="D47" s="271">
        <v>39980000</v>
      </c>
      <c r="E47" s="282">
        <v>39980000</v>
      </c>
      <c r="F47" s="247"/>
      <c r="G47" s="281" t="s">
        <v>802</v>
      </c>
      <c r="H47" s="272" t="s">
        <v>907</v>
      </c>
      <c r="I47" s="271">
        <v>44750000</v>
      </c>
      <c r="J47" s="282">
        <v>44750970</v>
      </c>
      <c r="K47" s="247"/>
      <c r="L47" s="281" t="s">
        <v>648</v>
      </c>
      <c r="M47" s="272" t="s">
        <v>908</v>
      </c>
      <c r="N47" s="271">
        <v>11920000</v>
      </c>
      <c r="O47" s="282">
        <v>11920973</v>
      </c>
      <c r="P47" s="289"/>
      <c r="Q47" s="281"/>
      <c r="R47" s="272"/>
      <c r="S47" s="271"/>
      <c r="T47" s="282"/>
    </row>
    <row r="48" spans="2:20" ht="11.1" customHeight="1" x14ac:dyDescent="0.2">
      <c r="B48" s="283" t="s">
        <v>478</v>
      </c>
      <c r="C48" s="263" t="s">
        <v>909</v>
      </c>
      <c r="D48" s="262">
        <v>39288000</v>
      </c>
      <c r="E48" s="284">
        <v>39288000</v>
      </c>
      <c r="F48" s="247"/>
      <c r="G48" s="283" t="s">
        <v>394</v>
      </c>
      <c r="H48" s="263" t="s">
        <v>910</v>
      </c>
      <c r="I48" s="262">
        <v>44860000</v>
      </c>
      <c r="J48" s="284">
        <v>44860000</v>
      </c>
      <c r="K48" s="247"/>
      <c r="L48" s="283" t="s">
        <v>670</v>
      </c>
      <c r="M48" s="263" t="s">
        <v>911</v>
      </c>
      <c r="N48" s="262">
        <v>11630000</v>
      </c>
      <c r="O48" s="284">
        <v>11630971</v>
      </c>
      <c r="P48" s="289"/>
      <c r="Q48" s="303"/>
      <c r="R48" s="259"/>
      <c r="S48" s="258"/>
      <c r="T48" s="304"/>
    </row>
    <row r="49" spans="2:20" ht="11.1" customHeight="1" x14ac:dyDescent="0.2">
      <c r="B49" s="281" t="s">
        <v>748</v>
      </c>
      <c r="C49" s="272" t="s">
        <v>912</v>
      </c>
      <c r="D49" s="271">
        <v>39835000</v>
      </c>
      <c r="E49" s="282">
        <v>39835000</v>
      </c>
      <c r="F49" s="247"/>
      <c r="G49" s="281" t="s">
        <v>802</v>
      </c>
      <c r="H49" s="272" t="s">
        <v>913</v>
      </c>
      <c r="I49" s="271">
        <v>44790000</v>
      </c>
      <c r="J49" s="282">
        <v>44790978</v>
      </c>
      <c r="K49" s="247"/>
      <c r="L49" s="281" t="s">
        <v>648</v>
      </c>
      <c r="M49" s="272" t="s">
        <v>914</v>
      </c>
      <c r="N49" s="271">
        <v>11925000</v>
      </c>
      <c r="O49" s="282">
        <v>11925971</v>
      </c>
      <c r="P49" s="289"/>
      <c r="Q49" s="281"/>
      <c r="R49" s="272"/>
      <c r="S49" s="271"/>
      <c r="T49" s="282"/>
    </row>
    <row r="50" spans="2:20" ht="11.1" customHeight="1" x14ac:dyDescent="0.2">
      <c r="B50" s="283" t="s">
        <v>478</v>
      </c>
      <c r="C50" s="263" t="s">
        <v>915</v>
      </c>
      <c r="D50" s="262">
        <v>39457000</v>
      </c>
      <c r="E50" s="284">
        <v>39457000</v>
      </c>
      <c r="F50" s="247"/>
      <c r="G50" s="283" t="s">
        <v>774</v>
      </c>
      <c r="H50" s="263" t="s">
        <v>916</v>
      </c>
      <c r="I50" s="262">
        <v>46444000</v>
      </c>
      <c r="J50" s="284">
        <v>46444000</v>
      </c>
      <c r="K50" s="247"/>
      <c r="L50" s="283" t="s">
        <v>640</v>
      </c>
      <c r="M50" s="263" t="s">
        <v>917</v>
      </c>
      <c r="N50" s="262">
        <v>15385000</v>
      </c>
      <c r="O50" s="284">
        <v>15385000</v>
      </c>
      <c r="P50" s="289"/>
      <c r="Q50" s="303"/>
      <c r="R50" s="259"/>
      <c r="S50" s="258"/>
      <c r="T50" s="304"/>
    </row>
    <row r="51" spans="2:20" ht="11.1" customHeight="1" x14ac:dyDescent="0.2">
      <c r="B51" s="281" t="s">
        <v>478</v>
      </c>
      <c r="C51" s="272" t="s">
        <v>918</v>
      </c>
      <c r="D51" s="271">
        <v>39338000</v>
      </c>
      <c r="E51" s="282">
        <v>39338000</v>
      </c>
      <c r="F51" s="247"/>
      <c r="G51" s="281" t="s">
        <v>774</v>
      </c>
      <c r="H51" s="272" t="s">
        <v>919</v>
      </c>
      <c r="I51" s="271">
        <v>47730000</v>
      </c>
      <c r="J51" s="282">
        <v>47730970</v>
      </c>
      <c r="K51" s="247"/>
      <c r="L51" s="281" t="s">
        <v>640</v>
      </c>
      <c r="M51" s="272" t="s">
        <v>920</v>
      </c>
      <c r="N51" s="271">
        <v>15690000</v>
      </c>
      <c r="O51" s="282">
        <v>15690000</v>
      </c>
      <c r="P51" s="289"/>
      <c r="Q51" s="281"/>
      <c r="R51" s="272"/>
      <c r="S51" s="271"/>
      <c r="T51" s="282"/>
    </row>
    <row r="52" spans="2:20" ht="11.1" customHeight="1" x14ac:dyDescent="0.2">
      <c r="B52" s="283" t="s">
        <v>478</v>
      </c>
      <c r="C52" s="263" t="s">
        <v>921</v>
      </c>
      <c r="D52" s="262">
        <v>39452000</v>
      </c>
      <c r="E52" s="284">
        <v>39452000</v>
      </c>
      <c r="F52" s="247"/>
      <c r="G52" s="283" t="s">
        <v>796</v>
      </c>
      <c r="H52" s="263" t="s">
        <v>922</v>
      </c>
      <c r="I52" s="262">
        <v>44890000</v>
      </c>
      <c r="J52" s="284">
        <v>44890970</v>
      </c>
      <c r="K52" s="247"/>
      <c r="L52" s="283" t="s">
        <v>619</v>
      </c>
      <c r="M52" s="263" t="s">
        <v>923</v>
      </c>
      <c r="N52" s="262">
        <v>18950000</v>
      </c>
      <c r="O52" s="284">
        <v>18959899</v>
      </c>
      <c r="P52" s="289"/>
      <c r="Q52" s="303"/>
      <c r="R52" s="259"/>
      <c r="S52" s="258"/>
      <c r="T52" s="304"/>
    </row>
    <row r="53" spans="2:20" ht="11.1" customHeight="1" x14ac:dyDescent="0.2">
      <c r="B53" s="281" t="s">
        <v>478</v>
      </c>
      <c r="C53" s="272" t="s">
        <v>924</v>
      </c>
      <c r="D53" s="271">
        <v>39581000</v>
      </c>
      <c r="E53" s="282">
        <v>39581000</v>
      </c>
      <c r="F53" s="247"/>
      <c r="G53" s="281" t="s">
        <v>787</v>
      </c>
      <c r="H53" s="272" t="s">
        <v>925</v>
      </c>
      <c r="I53" s="271">
        <v>46510000</v>
      </c>
      <c r="J53" s="282">
        <v>46510000</v>
      </c>
      <c r="K53" s="247"/>
      <c r="L53" s="281" t="s">
        <v>648</v>
      </c>
      <c r="M53" s="272" t="s">
        <v>649</v>
      </c>
      <c r="N53" s="271">
        <v>18330000</v>
      </c>
      <c r="O53" s="282">
        <v>18330000</v>
      </c>
      <c r="P53" s="289"/>
      <c r="Q53" s="281"/>
      <c r="R53" s="272"/>
      <c r="S53" s="271"/>
      <c r="T53" s="282"/>
    </row>
    <row r="54" spans="2:20" ht="11.1" customHeight="1" x14ac:dyDescent="0.2">
      <c r="B54" s="283" t="s">
        <v>748</v>
      </c>
      <c r="C54" s="263" t="s">
        <v>926</v>
      </c>
      <c r="D54" s="262">
        <v>39680000</v>
      </c>
      <c r="E54" s="284">
        <v>39680000</v>
      </c>
      <c r="F54" s="247"/>
      <c r="G54" s="283" t="s">
        <v>796</v>
      </c>
      <c r="H54" s="263" t="s">
        <v>927</v>
      </c>
      <c r="I54" s="262">
        <v>44965000</v>
      </c>
      <c r="J54" s="284">
        <v>44965000</v>
      </c>
      <c r="K54" s="247"/>
      <c r="L54" s="283" t="s">
        <v>629</v>
      </c>
      <c r="M54" s="263" t="s">
        <v>928</v>
      </c>
      <c r="N54" s="262">
        <v>18440000</v>
      </c>
      <c r="O54" s="284">
        <v>18440000</v>
      </c>
      <c r="P54" s="289"/>
      <c r="Q54" s="303"/>
      <c r="R54" s="259"/>
      <c r="S54" s="258"/>
      <c r="T54" s="304"/>
    </row>
    <row r="55" spans="2:20" ht="11.1" customHeight="1" x14ac:dyDescent="0.2">
      <c r="B55" s="281" t="s">
        <v>478</v>
      </c>
      <c r="C55" s="272" t="s">
        <v>929</v>
      </c>
      <c r="D55" s="271">
        <v>39499000</v>
      </c>
      <c r="E55" s="282">
        <v>39499000</v>
      </c>
      <c r="F55" s="247"/>
      <c r="G55" s="281" t="s">
        <v>394</v>
      </c>
      <c r="H55" s="272" t="s">
        <v>930</v>
      </c>
      <c r="I55" s="271">
        <v>44889000</v>
      </c>
      <c r="J55" s="282">
        <v>48524971</v>
      </c>
      <c r="K55" s="247"/>
      <c r="L55" s="281" t="s">
        <v>629</v>
      </c>
      <c r="M55" s="272" t="s">
        <v>931</v>
      </c>
      <c r="N55" s="271">
        <v>18730000</v>
      </c>
      <c r="O55" s="282">
        <v>18739899</v>
      </c>
      <c r="P55" s="289"/>
      <c r="Q55" s="281"/>
      <c r="R55" s="272"/>
      <c r="S55" s="271"/>
      <c r="T55" s="282"/>
    </row>
    <row r="56" spans="2:20" ht="11.1" customHeight="1" x14ac:dyDescent="0.2">
      <c r="B56" s="283" t="s">
        <v>478</v>
      </c>
      <c r="C56" s="263" t="s">
        <v>932</v>
      </c>
      <c r="D56" s="262">
        <v>39445000</v>
      </c>
      <c r="E56" s="284">
        <v>39445000</v>
      </c>
      <c r="F56" s="247"/>
      <c r="G56" s="283" t="s">
        <v>802</v>
      </c>
      <c r="H56" s="263" t="s">
        <v>933</v>
      </c>
      <c r="I56" s="262">
        <v>44695000</v>
      </c>
      <c r="J56" s="284">
        <v>44695970</v>
      </c>
      <c r="K56" s="247"/>
      <c r="L56" s="283" t="s">
        <v>635</v>
      </c>
      <c r="M56" s="263" t="s">
        <v>934</v>
      </c>
      <c r="N56" s="262">
        <v>11740000</v>
      </c>
      <c r="O56" s="284">
        <v>11740975</v>
      </c>
      <c r="P56" s="289"/>
      <c r="Q56" s="303"/>
      <c r="R56" s="259"/>
      <c r="S56" s="258"/>
      <c r="T56" s="304"/>
    </row>
    <row r="57" spans="2:20" ht="11.1" customHeight="1" x14ac:dyDescent="0.2">
      <c r="B57" s="281" t="s">
        <v>748</v>
      </c>
      <c r="C57" s="272" t="s">
        <v>935</v>
      </c>
      <c r="D57" s="271">
        <v>39810000</v>
      </c>
      <c r="E57" s="282">
        <v>39810000</v>
      </c>
      <c r="F57" s="247"/>
      <c r="G57" s="281" t="s">
        <v>774</v>
      </c>
      <c r="H57" s="272" t="s">
        <v>936</v>
      </c>
      <c r="I57" s="271">
        <v>46445000</v>
      </c>
      <c r="J57" s="282">
        <v>46445970</v>
      </c>
      <c r="K57" s="247"/>
      <c r="L57" s="281" t="s">
        <v>629</v>
      </c>
      <c r="M57" s="272" t="s">
        <v>937</v>
      </c>
      <c r="N57" s="271">
        <v>18360000</v>
      </c>
      <c r="O57" s="282">
        <v>18360000</v>
      </c>
      <c r="P57" s="289"/>
      <c r="Q57" s="281"/>
      <c r="R57" s="272"/>
      <c r="S57" s="271"/>
      <c r="T57" s="282"/>
    </row>
    <row r="58" spans="2:20" ht="11.1" customHeight="1" x14ac:dyDescent="0.2">
      <c r="B58" s="283" t="s">
        <v>748</v>
      </c>
      <c r="C58" s="263" t="s">
        <v>938</v>
      </c>
      <c r="D58" s="262">
        <v>39864000</v>
      </c>
      <c r="E58" s="284">
        <v>39864000</v>
      </c>
      <c r="F58" s="247"/>
      <c r="G58" s="283" t="s">
        <v>397</v>
      </c>
      <c r="H58" s="263" t="s">
        <v>939</v>
      </c>
      <c r="I58" s="262">
        <v>47980000</v>
      </c>
      <c r="J58" s="284">
        <v>47980000</v>
      </c>
      <c r="K58" s="247"/>
      <c r="L58" s="283" t="s">
        <v>629</v>
      </c>
      <c r="M58" s="263" t="s">
        <v>940</v>
      </c>
      <c r="N58" s="262">
        <v>18400002</v>
      </c>
      <c r="O58" s="284">
        <v>18420970</v>
      </c>
      <c r="P58" s="289"/>
      <c r="Q58" s="303"/>
      <c r="R58" s="259"/>
      <c r="S58" s="258"/>
      <c r="T58" s="304"/>
    </row>
    <row r="59" spans="2:20" ht="11.1" customHeight="1" x14ac:dyDescent="0.2">
      <c r="B59" s="281" t="s">
        <v>748</v>
      </c>
      <c r="C59" s="272" t="s">
        <v>941</v>
      </c>
      <c r="D59" s="271">
        <v>39937000</v>
      </c>
      <c r="E59" s="282">
        <v>39937000</v>
      </c>
      <c r="F59" s="247"/>
      <c r="G59" s="281" t="s">
        <v>802</v>
      </c>
      <c r="H59" s="272" t="s">
        <v>942</v>
      </c>
      <c r="I59" s="271">
        <v>48985000</v>
      </c>
      <c r="J59" s="282">
        <v>48985000</v>
      </c>
      <c r="K59" s="247"/>
      <c r="L59" s="281" t="s">
        <v>629</v>
      </c>
      <c r="M59" s="272" t="s">
        <v>943</v>
      </c>
      <c r="N59" s="271">
        <v>18385000</v>
      </c>
      <c r="O59" s="282">
        <v>18385000</v>
      </c>
      <c r="P59" s="289"/>
      <c r="Q59" s="281"/>
      <c r="R59" s="272"/>
      <c r="S59" s="271"/>
      <c r="T59" s="282"/>
    </row>
    <row r="60" spans="2:20" ht="11.1" customHeight="1" x14ac:dyDescent="0.2">
      <c r="B60" s="283" t="s">
        <v>748</v>
      </c>
      <c r="C60" s="263" t="s">
        <v>944</v>
      </c>
      <c r="D60" s="262">
        <v>39816000</v>
      </c>
      <c r="E60" s="284">
        <v>39816000</v>
      </c>
      <c r="F60" s="247"/>
      <c r="G60" s="283" t="s">
        <v>397</v>
      </c>
      <c r="H60" s="263" t="s">
        <v>945</v>
      </c>
      <c r="I60" s="262">
        <v>47845000</v>
      </c>
      <c r="J60" s="284">
        <v>47845970</v>
      </c>
      <c r="K60" s="247"/>
      <c r="L60" s="283" t="s">
        <v>629</v>
      </c>
      <c r="M60" s="263" t="s">
        <v>946</v>
      </c>
      <c r="N60" s="262">
        <v>18480000</v>
      </c>
      <c r="O60" s="284">
        <v>18480000</v>
      </c>
      <c r="P60" s="289"/>
      <c r="Q60" s="303"/>
      <c r="R60" s="259"/>
      <c r="S60" s="258"/>
      <c r="T60" s="304"/>
    </row>
    <row r="61" spans="2:20" ht="11.1" customHeight="1" x14ac:dyDescent="0.2">
      <c r="B61" s="281" t="s">
        <v>478</v>
      </c>
      <c r="C61" s="272" t="s">
        <v>947</v>
      </c>
      <c r="D61" s="271">
        <v>39585000</v>
      </c>
      <c r="E61" s="282">
        <v>39585000</v>
      </c>
      <c r="F61" s="247"/>
      <c r="G61" s="281" t="s">
        <v>796</v>
      </c>
      <c r="H61" s="272" t="s">
        <v>948</v>
      </c>
      <c r="I61" s="271">
        <v>46695000</v>
      </c>
      <c r="J61" s="282">
        <v>46695000</v>
      </c>
      <c r="K61" s="247"/>
      <c r="L61" s="281" t="s">
        <v>640</v>
      </c>
      <c r="M61" s="272" t="s">
        <v>949</v>
      </c>
      <c r="N61" s="271">
        <v>15390000</v>
      </c>
      <c r="O61" s="282">
        <v>15390000</v>
      </c>
      <c r="P61" s="289"/>
      <c r="Q61" s="281"/>
      <c r="R61" s="272"/>
      <c r="S61" s="271"/>
      <c r="T61" s="282"/>
    </row>
    <row r="62" spans="2:20" ht="11.1" customHeight="1" x14ac:dyDescent="0.2">
      <c r="B62" s="283" t="s">
        <v>478</v>
      </c>
      <c r="C62" s="263" t="s">
        <v>950</v>
      </c>
      <c r="D62" s="262">
        <v>39526000</v>
      </c>
      <c r="E62" s="284">
        <v>39526000</v>
      </c>
      <c r="F62" s="247"/>
      <c r="G62" s="283" t="s">
        <v>796</v>
      </c>
      <c r="H62" s="263" t="s">
        <v>951</v>
      </c>
      <c r="I62" s="262">
        <v>44940000</v>
      </c>
      <c r="J62" s="284">
        <v>44940000</v>
      </c>
      <c r="K62" s="247"/>
      <c r="L62" s="283" t="s">
        <v>629</v>
      </c>
      <c r="M62" s="263" t="s">
        <v>952</v>
      </c>
      <c r="N62" s="262">
        <v>18460000</v>
      </c>
      <c r="O62" s="284">
        <v>18469007</v>
      </c>
      <c r="P62" s="289"/>
      <c r="Q62" s="303"/>
      <c r="R62" s="259"/>
      <c r="S62" s="258"/>
      <c r="T62" s="304"/>
    </row>
    <row r="63" spans="2:20" ht="11.1" customHeight="1" x14ac:dyDescent="0.2">
      <c r="B63" s="281" t="s">
        <v>748</v>
      </c>
      <c r="C63" s="272" t="s">
        <v>953</v>
      </c>
      <c r="D63" s="271">
        <v>39648000</v>
      </c>
      <c r="E63" s="282">
        <v>39648000</v>
      </c>
      <c r="F63" s="247"/>
      <c r="G63" s="281" t="s">
        <v>774</v>
      </c>
      <c r="H63" s="272" t="s">
        <v>954</v>
      </c>
      <c r="I63" s="271">
        <v>47680000</v>
      </c>
      <c r="J63" s="282">
        <v>47680970</v>
      </c>
      <c r="K63" s="247"/>
      <c r="L63" s="281" t="s">
        <v>648</v>
      </c>
      <c r="M63" s="272" t="s">
        <v>955</v>
      </c>
      <c r="N63" s="271">
        <v>11760000</v>
      </c>
      <c r="O63" s="282">
        <v>11770970</v>
      </c>
      <c r="P63" s="289"/>
      <c r="Q63" s="281"/>
      <c r="R63" s="272"/>
      <c r="S63" s="271"/>
      <c r="T63" s="282"/>
    </row>
    <row r="64" spans="2:20" ht="11.1" customHeight="1" x14ac:dyDescent="0.2">
      <c r="B64" s="283" t="s">
        <v>800</v>
      </c>
      <c r="C64" s="263" t="s">
        <v>956</v>
      </c>
      <c r="D64" s="262">
        <v>39314000</v>
      </c>
      <c r="E64" s="284">
        <v>39314000</v>
      </c>
      <c r="F64" s="247"/>
      <c r="G64" s="283" t="s">
        <v>419</v>
      </c>
      <c r="H64" s="263" t="s">
        <v>957</v>
      </c>
      <c r="I64" s="262">
        <v>46200000</v>
      </c>
      <c r="J64" s="284">
        <v>46200970</v>
      </c>
      <c r="K64" s="247"/>
      <c r="L64" s="283" t="s">
        <v>648</v>
      </c>
      <c r="M64" s="263" t="s">
        <v>958</v>
      </c>
      <c r="N64" s="262">
        <v>11940000</v>
      </c>
      <c r="O64" s="284">
        <v>11940971</v>
      </c>
      <c r="P64" s="289"/>
      <c r="Q64" s="303"/>
      <c r="R64" s="259"/>
      <c r="S64" s="258"/>
      <c r="T64" s="304"/>
    </row>
    <row r="65" spans="2:20" ht="11.1" customHeight="1" x14ac:dyDescent="0.2">
      <c r="B65" s="281" t="s">
        <v>478</v>
      </c>
      <c r="C65" s="272" t="s">
        <v>959</v>
      </c>
      <c r="D65" s="271">
        <v>39380000</v>
      </c>
      <c r="E65" s="282">
        <v>39380000</v>
      </c>
      <c r="F65" s="247"/>
      <c r="G65" s="281" t="s">
        <v>796</v>
      </c>
      <c r="H65" s="272" t="s">
        <v>960</v>
      </c>
      <c r="I65" s="271">
        <v>47430000</v>
      </c>
      <c r="J65" s="282">
        <v>47430000</v>
      </c>
      <c r="K65" s="247"/>
      <c r="L65" s="281" t="s">
        <v>678</v>
      </c>
      <c r="M65" s="272" t="s">
        <v>961</v>
      </c>
      <c r="N65" s="271">
        <v>19680000</v>
      </c>
      <c r="O65" s="282">
        <v>19680000</v>
      </c>
      <c r="P65" s="289"/>
      <c r="Q65" s="281"/>
      <c r="R65" s="272"/>
      <c r="S65" s="271"/>
      <c r="T65" s="282"/>
    </row>
    <row r="66" spans="2:20" ht="11.1" customHeight="1" x14ac:dyDescent="0.2">
      <c r="B66" s="283" t="s">
        <v>748</v>
      </c>
      <c r="C66" s="263" t="s">
        <v>962</v>
      </c>
      <c r="D66" s="262">
        <v>39628000</v>
      </c>
      <c r="E66" s="284">
        <v>39628000</v>
      </c>
      <c r="F66" s="247"/>
      <c r="G66" s="283" t="s">
        <v>774</v>
      </c>
      <c r="H66" s="263" t="s">
        <v>963</v>
      </c>
      <c r="I66" s="262">
        <v>47650000</v>
      </c>
      <c r="J66" s="284">
        <v>47650970</v>
      </c>
      <c r="K66" s="247"/>
      <c r="L66" s="283" t="s">
        <v>648</v>
      </c>
      <c r="M66" s="263" t="s">
        <v>964</v>
      </c>
      <c r="N66" s="262">
        <v>11800000</v>
      </c>
      <c r="O66" s="284">
        <v>11800970</v>
      </c>
      <c r="P66" s="289"/>
      <c r="Q66" s="303"/>
      <c r="R66" s="259"/>
      <c r="S66" s="258"/>
      <c r="T66" s="304"/>
    </row>
    <row r="67" spans="2:20" ht="11.1" customHeight="1" x14ac:dyDescent="0.2">
      <c r="B67" s="281" t="s">
        <v>748</v>
      </c>
      <c r="C67" s="272" t="s">
        <v>965</v>
      </c>
      <c r="D67" s="271">
        <v>39826000</v>
      </c>
      <c r="E67" s="282">
        <v>39826000</v>
      </c>
      <c r="F67" s="247"/>
      <c r="G67" s="281" t="s">
        <v>397</v>
      </c>
      <c r="H67" s="272" t="s">
        <v>966</v>
      </c>
      <c r="I67" s="271">
        <v>47900000</v>
      </c>
      <c r="J67" s="282">
        <v>47900970</v>
      </c>
      <c r="K67" s="247"/>
      <c r="L67" s="281" t="s">
        <v>651</v>
      </c>
      <c r="M67" s="272" t="s">
        <v>967</v>
      </c>
      <c r="N67" s="271">
        <v>18500000</v>
      </c>
      <c r="O67" s="282">
        <v>18500970</v>
      </c>
      <c r="P67" s="289"/>
      <c r="Q67" s="281"/>
      <c r="R67" s="272"/>
      <c r="S67" s="271"/>
      <c r="T67" s="282"/>
    </row>
    <row r="68" spans="2:20" ht="11.1" customHeight="1" x14ac:dyDescent="0.2">
      <c r="B68" s="283" t="s">
        <v>478</v>
      </c>
      <c r="C68" s="263" t="s">
        <v>968</v>
      </c>
      <c r="D68" s="262">
        <v>39435000</v>
      </c>
      <c r="E68" s="284">
        <v>39435000</v>
      </c>
      <c r="F68" s="247"/>
      <c r="G68" s="283" t="s">
        <v>397</v>
      </c>
      <c r="H68" s="263" t="s">
        <v>969</v>
      </c>
      <c r="I68" s="262">
        <v>47950000</v>
      </c>
      <c r="J68" s="284">
        <v>47950970</v>
      </c>
      <c r="K68" s="247"/>
      <c r="L68" s="283" t="s">
        <v>670</v>
      </c>
      <c r="M68" s="263" t="s">
        <v>970</v>
      </c>
      <c r="N68" s="262">
        <v>12760000</v>
      </c>
      <c r="O68" s="284">
        <v>12760971</v>
      </c>
      <c r="P68" s="289"/>
      <c r="Q68" s="303"/>
      <c r="R68" s="259"/>
      <c r="S68" s="258"/>
      <c r="T68" s="304"/>
    </row>
    <row r="69" spans="2:20" ht="11.1" customHeight="1" x14ac:dyDescent="0.2">
      <c r="B69" s="281" t="s">
        <v>478</v>
      </c>
      <c r="C69" s="272" t="s">
        <v>971</v>
      </c>
      <c r="D69" s="271">
        <v>39489000</v>
      </c>
      <c r="E69" s="282">
        <v>39489000</v>
      </c>
      <c r="F69" s="247"/>
      <c r="G69" s="281" t="s">
        <v>802</v>
      </c>
      <c r="H69" s="272" t="s">
        <v>972</v>
      </c>
      <c r="I69" s="271">
        <v>44795000</v>
      </c>
      <c r="J69" s="282">
        <v>44795000</v>
      </c>
      <c r="K69" s="247"/>
      <c r="L69" s="281" t="s">
        <v>629</v>
      </c>
      <c r="M69" s="272" t="s">
        <v>973</v>
      </c>
      <c r="N69" s="271">
        <v>18780000</v>
      </c>
      <c r="O69" s="282">
        <v>18780970</v>
      </c>
      <c r="P69" s="289"/>
      <c r="Q69" s="281"/>
      <c r="R69" s="272"/>
      <c r="S69" s="271"/>
      <c r="T69" s="282"/>
    </row>
    <row r="70" spans="2:20" ht="11.1" customHeight="1" x14ac:dyDescent="0.2">
      <c r="B70" s="283" t="s">
        <v>478</v>
      </c>
      <c r="C70" s="263" t="s">
        <v>974</v>
      </c>
      <c r="D70" s="262">
        <v>39340000</v>
      </c>
      <c r="E70" s="284">
        <v>39340000</v>
      </c>
      <c r="F70" s="247"/>
      <c r="G70" s="283" t="s">
        <v>394</v>
      </c>
      <c r="H70" s="263" t="s">
        <v>975</v>
      </c>
      <c r="I70" s="262">
        <v>44855000</v>
      </c>
      <c r="J70" s="284">
        <v>44855000</v>
      </c>
      <c r="K70" s="247"/>
      <c r="L70" s="283" t="s">
        <v>640</v>
      </c>
      <c r="M70" s="263" t="s">
        <v>976</v>
      </c>
      <c r="N70" s="262">
        <v>15748000</v>
      </c>
      <c r="O70" s="284">
        <v>15748000</v>
      </c>
      <c r="P70" s="289"/>
      <c r="Q70" s="303"/>
      <c r="R70" s="259"/>
      <c r="S70" s="258"/>
      <c r="T70" s="304"/>
    </row>
    <row r="71" spans="2:20" ht="11.1" customHeight="1" x14ac:dyDescent="0.2">
      <c r="B71" s="281" t="s">
        <v>748</v>
      </c>
      <c r="C71" s="272" t="s">
        <v>977</v>
      </c>
      <c r="D71" s="271">
        <v>39635000</v>
      </c>
      <c r="E71" s="282">
        <v>39635000</v>
      </c>
      <c r="F71" s="247"/>
      <c r="G71" s="281" t="s">
        <v>394</v>
      </c>
      <c r="H71" s="272" t="s">
        <v>978</v>
      </c>
      <c r="I71" s="271">
        <v>44865000</v>
      </c>
      <c r="J71" s="282">
        <v>44865000</v>
      </c>
      <c r="K71" s="247"/>
      <c r="L71" s="281" t="s">
        <v>640</v>
      </c>
      <c r="M71" s="272" t="s">
        <v>979</v>
      </c>
      <c r="N71" s="271">
        <v>15580000</v>
      </c>
      <c r="O71" s="282">
        <v>15580000</v>
      </c>
      <c r="P71" s="289"/>
      <c r="Q71" s="281"/>
      <c r="R71" s="272"/>
      <c r="S71" s="271"/>
      <c r="T71" s="282"/>
    </row>
    <row r="72" spans="2:20" ht="11.1" customHeight="1" x14ac:dyDescent="0.2">
      <c r="B72" s="283" t="s">
        <v>748</v>
      </c>
      <c r="C72" s="263" t="s">
        <v>980</v>
      </c>
      <c r="D72" s="262">
        <v>39885000</v>
      </c>
      <c r="E72" s="284">
        <v>39885000</v>
      </c>
      <c r="F72" s="247"/>
      <c r="G72" s="283" t="s">
        <v>774</v>
      </c>
      <c r="H72" s="263" t="s">
        <v>981</v>
      </c>
      <c r="I72" s="262">
        <v>46446000</v>
      </c>
      <c r="J72" s="284">
        <v>46446000</v>
      </c>
      <c r="K72" s="247"/>
      <c r="L72" s="283" t="s">
        <v>648</v>
      </c>
      <c r="M72" s="263" t="s">
        <v>982</v>
      </c>
      <c r="N72" s="262">
        <v>11850000</v>
      </c>
      <c r="O72" s="284">
        <v>11850971</v>
      </c>
      <c r="P72" s="289"/>
      <c r="Q72" s="303"/>
      <c r="R72" s="259"/>
      <c r="S72" s="258"/>
      <c r="T72" s="304"/>
    </row>
    <row r="73" spans="2:20" ht="11.1" customHeight="1" x14ac:dyDescent="0.2">
      <c r="B73" s="281" t="s">
        <v>748</v>
      </c>
      <c r="C73" s="272" t="s">
        <v>983</v>
      </c>
      <c r="D73" s="271">
        <v>39809000</v>
      </c>
      <c r="E73" s="282">
        <v>39809000</v>
      </c>
      <c r="F73" s="247"/>
      <c r="G73" s="281" t="s">
        <v>802</v>
      </c>
      <c r="H73" s="272" t="s">
        <v>984</v>
      </c>
      <c r="I73" s="271">
        <v>44775000</v>
      </c>
      <c r="J73" s="282">
        <v>44775970</v>
      </c>
      <c r="K73" s="247"/>
      <c r="L73" s="281" t="s">
        <v>678</v>
      </c>
      <c r="M73" s="272" t="s">
        <v>985</v>
      </c>
      <c r="N73" s="271">
        <v>19260000</v>
      </c>
      <c r="O73" s="282">
        <v>19260000</v>
      </c>
      <c r="P73" s="289"/>
      <c r="Q73" s="281"/>
      <c r="R73" s="272"/>
      <c r="S73" s="271"/>
      <c r="T73" s="282"/>
    </row>
    <row r="74" spans="2:20" ht="11.1" customHeight="1" x14ac:dyDescent="0.2">
      <c r="B74" s="283" t="s">
        <v>478</v>
      </c>
      <c r="C74" s="263" t="s">
        <v>986</v>
      </c>
      <c r="D74" s="262">
        <v>39598000</v>
      </c>
      <c r="E74" s="284">
        <v>39598000</v>
      </c>
      <c r="F74" s="247"/>
      <c r="G74" s="283" t="s">
        <v>397</v>
      </c>
      <c r="H74" s="263" t="s">
        <v>987</v>
      </c>
      <c r="I74" s="262">
        <v>47990000</v>
      </c>
      <c r="J74" s="284">
        <v>47990970</v>
      </c>
      <c r="K74" s="247"/>
      <c r="L74" s="283" t="s">
        <v>635</v>
      </c>
      <c r="M74" s="263" t="s">
        <v>988</v>
      </c>
      <c r="N74" s="262">
        <v>11730000</v>
      </c>
      <c r="O74" s="284">
        <v>11730972</v>
      </c>
      <c r="P74" s="289"/>
      <c r="Q74" s="303"/>
      <c r="R74" s="259"/>
      <c r="S74" s="258"/>
      <c r="T74" s="304"/>
    </row>
    <row r="75" spans="2:20" ht="11.1" customHeight="1" x14ac:dyDescent="0.2">
      <c r="B75" s="281" t="s">
        <v>478</v>
      </c>
      <c r="C75" s="272" t="s">
        <v>989</v>
      </c>
      <c r="D75" s="271">
        <v>39235000</v>
      </c>
      <c r="E75" s="282">
        <v>39235000</v>
      </c>
      <c r="F75" s="247"/>
      <c r="G75" s="281" t="s">
        <v>774</v>
      </c>
      <c r="H75" s="272" t="s">
        <v>990</v>
      </c>
      <c r="I75" s="271">
        <v>47620000</v>
      </c>
      <c r="J75" s="282">
        <v>47620000</v>
      </c>
      <c r="K75" s="247"/>
      <c r="L75" s="281" t="s">
        <v>678</v>
      </c>
      <c r="M75" s="272" t="s">
        <v>991</v>
      </c>
      <c r="N75" s="271">
        <v>17960000</v>
      </c>
      <c r="O75" s="282">
        <v>17960000</v>
      </c>
      <c r="P75" s="289"/>
      <c r="Q75" s="281"/>
      <c r="R75" s="272"/>
      <c r="S75" s="271"/>
      <c r="T75" s="282"/>
    </row>
    <row r="76" spans="2:20" ht="11.1" customHeight="1" x14ac:dyDescent="0.2">
      <c r="B76" s="283" t="s">
        <v>748</v>
      </c>
      <c r="C76" s="263" t="s">
        <v>992</v>
      </c>
      <c r="D76" s="262">
        <v>39569000</v>
      </c>
      <c r="E76" s="284">
        <v>39569999</v>
      </c>
      <c r="F76" s="247"/>
      <c r="G76" s="283" t="s">
        <v>796</v>
      </c>
      <c r="H76" s="263" t="s">
        <v>993</v>
      </c>
      <c r="I76" s="262">
        <v>47470000</v>
      </c>
      <c r="J76" s="284">
        <v>47470000</v>
      </c>
      <c r="K76" s="247"/>
      <c r="L76" s="283" t="s">
        <v>678</v>
      </c>
      <c r="M76" s="263" t="s">
        <v>994</v>
      </c>
      <c r="N76" s="262">
        <v>19220000</v>
      </c>
      <c r="O76" s="284">
        <v>19220000</v>
      </c>
      <c r="P76" s="289"/>
      <c r="Q76" s="303"/>
      <c r="R76" s="259"/>
      <c r="S76" s="258"/>
      <c r="T76" s="304"/>
    </row>
    <row r="77" spans="2:20" ht="11.1" customHeight="1" x14ac:dyDescent="0.2">
      <c r="B77" s="281" t="s">
        <v>748</v>
      </c>
      <c r="C77" s="272" t="s">
        <v>995</v>
      </c>
      <c r="D77" s="271">
        <v>39995000</v>
      </c>
      <c r="E77" s="282">
        <v>39995000</v>
      </c>
      <c r="F77" s="247"/>
      <c r="G77" s="281" t="s">
        <v>394</v>
      </c>
      <c r="H77" s="272" t="s">
        <v>996</v>
      </c>
      <c r="I77" s="271">
        <v>44650000</v>
      </c>
      <c r="J77" s="282">
        <v>44650000</v>
      </c>
      <c r="K77" s="247"/>
      <c r="L77" s="281" t="s">
        <v>629</v>
      </c>
      <c r="M77" s="272" t="s">
        <v>997</v>
      </c>
      <c r="N77" s="271">
        <v>18435000</v>
      </c>
      <c r="O77" s="282">
        <v>18435000</v>
      </c>
      <c r="P77" s="289"/>
      <c r="Q77" s="281"/>
      <c r="R77" s="272"/>
      <c r="S77" s="271"/>
      <c r="T77" s="282"/>
    </row>
    <row r="78" spans="2:20" ht="11.1" customHeight="1" x14ac:dyDescent="0.2">
      <c r="B78" s="283" t="s">
        <v>748</v>
      </c>
      <c r="C78" s="263" t="s">
        <v>998</v>
      </c>
      <c r="D78" s="262">
        <v>39912000</v>
      </c>
      <c r="E78" s="284">
        <v>39912000</v>
      </c>
      <c r="F78" s="247"/>
      <c r="G78" s="283" t="s">
        <v>796</v>
      </c>
      <c r="H78" s="263" t="s">
        <v>999</v>
      </c>
      <c r="I78" s="262">
        <v>47450000</v>
      </c>
      <c r="J78" s="284">
        <v>47450000</v>
      </c>
      <c r="K78" s="247"/>
      <c r="L78" s="283" t="s">
        <v>640</v>
      </c>
      <c r="M78" s="263" t="s">
        <v>1000</v>
      </c>
      <c r="N78" s="262">
        <v>15773000</v>
      </c>
      <c r="O78" s="284">
        <v>15773000</v>
      </c>
      <c r="P78" s="289"/>
      <c r="Q78" s="303"/>
      <c r="R78" s="259"/>
      <c r="S78" s="258"/>
      <c r="T78" s="304"/>
    </row>
    <row r="79" spans="2:20" ht="11.1" customHeight="1" x14ac:dyDescent="0.2">
      <c r="B79" s="281" t="s">
        <v>748</v>
      </c>
      <c r="C79" s="272" t="s">
        <v>1001</v>
      </c>
      <c r="D79" s="271">
        <v>39948000</v>
      </c>
      <c r="E79" s="282">
        <v>39948000</v>
      </c>
      <c r="F79" s="247"/>
      <c r="G79" s="281" t="s">
        <v>796</v>
      </c>
      <c r="H79" s="272" t="s">
        <v>1002</v>
      </c>
      <c r="I79" s="271">
        <v>44955000</v>
      </c>
      <c r="J79" s="282">
        <v>44955000</v>
      </c>
      <c r="K79" s="247"/>
      <c r="L79" s="281" t="s">
        <v>678</v>
      </c>
      <c r="M79" s="272" t="s">
        <v>1003</v>
      </c>
      <c r="N79" s="271">
        <v>17950000</v>
      </c>
      <c r="O79" s="282">
        <v>17950000</v>
      </c>
      <c r="P79" s="289"/>
      <c r="Q79" s="281"/>
      <c r="R79" s="272"/>
      <c r="S79" s="271"/>
      <c r="T79" s="282"/>
    </row>
    <row r="80" spans="2:20" ht="11.1" customHeight="1" x14ac:dyDescent="0.2">
      <c r="B80" s="283" t="s">
        <v>800</v>
      </c>
      <c r="C80" s="263" t="s">
        <v>1004</v>
      </c>
      <c r="D80" s="262">
        <v>38654000</v>
      </c>
      <c r="E80" s="284">
        <v>38654000</v>
      </c>
      <c r="F80" s="247"/>
      <c r="G80" s="283" t="s">
        <v>796</v>
      </c>
      <c r="H80" s="263" t="s">
        <v>1005</v>
      </c>
      <c r="I80" s="262">
        <v>44970000</v>
      </c>
      <c r="J80" s="284">
        <v>44970971</v>
      </c>
      <c r="K80" s="247"/>
      <c r="L80" s="283" t="s">
        <v>621</v>
      </c>
      <c r="M80" s="263" t="s">
        <v>1006</v>
      </c>
      <c r="N80" s="262">
        <v>16940000</v>
      </c>
      <c r="O80" s="284">
        <v>16940000</v>
      </c>
      <c r="P80" s="289"/>
      <c r="Q80" s="303"/>
      <c r="R80" s="259"/>
      <c r="S80" s="258"/>
      <c r="T80" s="304"/>
    </row>
    <row r="81" spans="2:20" ht="11.1" customHeight="1" x14ac:dyDescent="0.2">
      <c r="B81" s="281" t="s">
        <v>478</v>
      </c>
      <c r="C81" s="272" t="s">
        <v>1007</v>
      </c>
      <c r="D81" s="271">
        <v>30000000</v>
      </c>
      <c r="E81" s="282">
        <v>30000000</v>
      </c>
      <c r="F81" s="247"/>
      <c r="G81" s="281" t="s">
        <v>787</v>
      </c>
      <c r="H81" s="272" t="s">
        <v>1008</v>
      </c>
      <c r="I81" s="271">
        <v>47595000</v>
      </c>
      <c r="J81" s="282">
        <v>47595970</v>
      </c>
      <c r="K81" s="247"/>
      <c r="L81" s="281" t="s">
        <v>629</v>
      </c>
      <c r="M81" s="272" t="s">
        <v>1009</v>
      </c>
      <c r="N81" s="271">
        <v>18790000</v>
      </c>
      <c r="O81" s="282">
        <v>18790027</v>
      </c>
      <c r="P81" s="289"/>
      <c r="Q81" s="281"/>
      <c r="R81" s="272"/>
      <c r="S81" s="271"/>
      <c r="T81" s="282"/>
    </row>
    <row r="82" spans="2:20" ht="11.1" customHeight="1" x14ac:dyDescent="0.2">
      <c r="B82" s="283" t="s">
        <v>478</v>
      </c>
      <c r="C82" s="263" t="s">
        <v>1010</v>
      </c>
      <c r="D82" s="262">
        <v>39417000</v>
      </c>
      <c r="E82" s="284">
        <v>39417000</v>
      </c>
      <c r="F82" s="247"/>
      <c r="G82" s="283" t="s">
        <v>787</v>
      </c>
      <c r="H82" s="263" t="s">
        <v>1011</v>
      </c>
      <c r="I82" s="262">
        <v>46540000</v>
      </c>
      <c r="J82" s="284">
        <v>46540000</v>
      </c>
      <c r="K82" s="247"/>
      <c r="L82" s="283" t="s">
        <v>678</v>
      </c>
      <c r="M82" s="263" t="s">
        <v>1012</v>
      </c>
      <c r="N82" s="262">
        <v>17920000</v>
      </c>
      <c r="O82" s="284">
        <v>17920970</v>
      </c>
      <c r="P82" s="289"/>
      <c r="Q82" s="303"/>
      <c r="R82" s="259"/>
      <c r="S82" s="258"/>
      <c r="T82" s="304"/>
    </row>
    <row r="83" spans="2:20" ht="11.1" customHeight="1" x14ac:dyDescent="0.2">
      <c r="B83" s="281" t="s">
        <v>748</v>
      </c>
      <c r="C83" s="272" t="s">
        <v>1013</v>
      </c>
      <c r="D83" s="271">
        <v>39602000</v>
      </c>
      <c r="E83" s="282">
        <v>39602000</v>
      </c>
      <c r="F83" s="247"/>
      <c r="G83" s="281" t="s">
        <v>796</v>
      </c>
      <c r="H83" s="272" t="s">
        <v>1014</v>
      </c>
      <c r="I83" s="271">
        <v>47110000</v>
      </c>
      <c r="J83" s="282">
        <v>47110970</v>
      </c>
      <c r="K83" s="247"/>
      <c r="L83" s="281" t="s">
        <v>640</v>
      </c>
      <c r="M83" s="272" t="s">
        <v>1015</v>
      </c>
      <c r="N83" s="271">
        <v>15685000</v>
      </c>
      <c r="O83" s="282">
        <v>15685000</v>
      </c>
      <c r="P83" s="289"/>
      <c r="Q83" s="281"/>
      <c r="R83" s="272"/>
      <c r="S83" s="271"/>
      <c r="T83" s="282"/>
    </row>
    <row r="84" spans="2:20" ht="11.1" customHeight="1" x14ac:dyDescent="0.2">
      <c r="B84" s="283" t="s">
        <v>748</v>
      </c>
      <c r="C84" s="263" t="s">
        <v>1016</v>
      </c>
      <c r="D84" s="262">
        <v>39866000</v>
      </c>
      <c r="E84" s="284">
        <v>39866000</v>
      </c>
      <c r="F84" s="247"/>
      <c r="G84" s="283" t="s">
        <v>787</v>
      </c>
      <c r="H84" s="263" t="s">
        <v>1017</v>
      </c>
      <c r="I84" s="262">
        <v>46700000</v>
      </c>
      <c r="J84" s="284">
        <v>46700970</v>
      </c>
      <c r="K84" s="247"/>
      <c r="L84" s="283" t="s">
        <v>678</v>
      </c>
      <c r="M84" s="263" t="s">
        <v>1018</v>
      </c>
      <c r="N84" s="262">
        <v>17980000</v>
      </c>
      <c r="O84" s="284">
        <v>17980000</v>
      </c>
      <c r="P84" s="289"/>
      <c r="Q84" s="303"/>
      <c r="R84" s="259"/>
      <c r="S84" s="258"/>
      <c r="T84" s="304"/>
    </row>
    <row r="85" spans="2:20" ht="11.1" customHeight="1" x14ac:dyDescent="0.2">
      <c r="B85" s="281" t="s">
        <v>478</v>
      </c>
      <c r="C85" s="272" t="s">
        <v>1019</v>
      </c>
      <c r="D85" s="271">
        <v>39410000</v>
      </c>
      <c r="E85" s="282">
        <v>39410000</v>
      </c>
      <c r="F85" s="247"/>
      <c r="G85" s="281" t="s">
        <v>796</v>
      </c>
      <c r="H85" s="272" t="s">
        <v>1020</v>
      </c>
      <c r="I85" s="271">
        <v>44960000</v>
      </c>
      <c r="J85" s="282">
        <v>44960970</v>
      </c>
      <c r="K85" s="247"/>
      <c r="L85" s="281" t="s">
        <v>629</v>
      </c>
      <c r="M85" s="272" t="s">
        <v>1021</v>
      </c>
      <c r="N85" s="271">
        <v>18720000</v>
      </c>
      <c r="O85" s="282">
        <v>18720970</v>
      </c>
      <c r="P85" s="289"/>
      <c r="Q85" s="281"/>
      <c r="R85" s="272"/>
      <c r="S85" s="271"/>
      <c r="T85" s="282"/>
    </row>
    <row r="86" spans="2:20" ht="11.1" customHeight="1" x14ac:dyDescent="0.2">
      <c r="B86" s="283" t="s">
        <v>478</v>
      </c>
      <c r="C86" s="263" t="s">
        <v>1022</v>
      </c>
      <c r="D86" s="262">
        <v>39510000</v>
      </c>
      <c r="E86" s="284">
        <v>39510000</v>
      </c>
      <c r="F86" s="247"/>
      <c r="G86" s="283" t="s">
        <v>796</v>
      </c>
      <c r="H86" s="263" t="s">
        <v>1023</v>
      </c>
      <c r="I86" s="262">
        <v>47480000</v>
      </c>
      <c r="J86" s="284">
        <v>47480000</v>
      </c>
      <c r="K86" s="247"/>
      <c r="L86" s="283" t="s">
        <v>648</v>
      </c>
      <c r="M86" s="263" t="s">
        <v>1024</v>
      </c>
      <c r="N86" s="262">
        <v>11930000</v>
      </c>
      <c r="O86" s="284">
        <v>11930970</v>
      </c>
      <c r="P86" s="289"/>
      <c r="Q86" s="303"/>
      <c r="R86" s="259"/>
      <c r="S86" s="258"/>
      <c r="T86" s="304"/>
    </row>
    <row r="87" spans="2:20" ht="11.1" customHeight="1" x14ac:dyDescent="0.2">
      <c r="B87" s="281" t="s">
        <v>748</v>
      </c>
      <c r="C87" s="272" t="s">
        <v>1025</v>
      </c>
      <c r="D87" s="271">
        <v>39923000</v>
      </c>
      <c r="E87" s="282">
        <v>39923000</v>
      </c>
      <c r="F87" s="247"/>
      <c r="G87" s="281" t="s">
        <v>787</v>
      </c>
      <c r="H87" s="272" t="s">
        <v>1026</v>
      </c>
      <c r="I87" s="271">
        <v>47520000</v>
      </c>
      <c r="J87" s="282">
        <v>47520970</v>
      </c>
      <c r="K87" s="247"/>
      <c r="L87" s="281" t="s">
        <v>678</v>
      </c>
      <c r="M87" s="272" t="s">
        <v>1027</v>
      </c>
      <c r="N87" s="271">
        <v>17990000</v>
      </c>
      <c r="O87" s="282">
        <v>17990000</v>
      </c>
      <c r="P87" s="289"/>
      <c r="Q87" s="281"/>
      <c r="R87" s="272"/>
      <c r="S87" s="271"/>
      <c r="T87" s="282"/>
    </row>
    <row r="88" spans="2:20" ht="11.1" customHeight="1" x14ac:dyDescent="0.2">
      <c r="B88" s="283" t="s">
        <v>748</v>
      </c>
      <c r="C88" s="263" t="s">
        <v>1028</v>
      </c>
      <c r="D88" s="262">
        <v>39895000</v>
      </c>
      <c r="E88" s="284">
        <v>39895000</v>
      </c>
      <c r="F88" s="247"/>
      <c r="G88" s="283" t="s">
        <v>394</v>
      </c>
      <c r="H88" s="263" t="s">
        <v>1029</v>
      </c>
      <c r="I88" s="262">
        <v>44852000</v>
      </c>
      <c r="J88" s="284">
        <v>44852000</v>
      </c>
      <c r="K88" s="247"/>
      <c r="L88" s="283" t="s">
        <v>648</v>
      </c>
      <c r="M88" s="263" t="s">
        <v>1030</v>
      </c>
      <c r="N88" s="262">
        <v>11790000</v>
      </c>
      <c r="O88" s="284">
        <v>11790970</v>
      </c>
      <c r="P88" s="289"/>
      <c r="Q88" s="303"/>
      <c r="R88" s="259"/>
      <c r="S88" s="258"/>
      <c r="T88" s="304"/>
    </row>
    <row r="89" spans="2:20" ht="11.1" customHeight="1" x14ac:dyDescent="0.2">
      <c r="B89" s="281" t="s">
        <v>478</v>
      </c>
      <c r="C89" s="272" t="s">
        <v>1031</v>
      </c>
      <c r="D89" s="271">
        <v>39334000</v>
      </c>
      <c r="E89" s="282">
        <v>39334000</v>
      </c>
      <c r="F89" s="247"/>
      <c r="G89" s="281" t="s">
        <v>1032</v>
      </c>
      <c r="H89" s="272" t="s">
        <v>1033</v>
      </c>
      <c r="I89" s="271">
        <v>46490000</v>
      </c>
      <c r="J89" s="282">
        <v>46490000</v>
      </c>
      <c r="K89" s="247"/>
      <c r="L89" s="281" t="s">
        <v>651</v>
      </c>
      <c r="M89" s="272" t="s">
        <v>1034</v>
      </c>
      <c r="N89" s="271">
        <v>18580000</v>
      </c>
      <c r="O89" s="282">
        <v>18580970</v>
      </c>
      <c r="P89" s="289"/>
      <c r="Q89" s="281"/>
      <c r="R89" s="272"/>
      <c r="S89" s="271"/>
      <c r="T89" s="282"/>
    </row>
    <row r="90" spans="2:20" ht="11.1" customHeight="1" x14ac:dyDescent="0.2">
      <c r="B90" s="283" t="s">
        <v>478</v>
      </c>
      <c r="C90" s="263" t="s">
        <v>1035</v>
      </c>
      <c r="D90" s="262">
        <v>39562000</v>
      </c>
      <c r="E90" s="284">
        <v>39562000</v>
      </c>
      <c r="F90" s="247"/>
      <c r="G90" s="283" t="s">
        <v>802</v>
      </c>
      <c r="H90" s="263" t="s">
        <v>1036</v>
      </c>
      <c r="I90" s="262">
        <v>48975000</v>
      </c>
      <c r="J90" s="284">
        <v>48975000</v>
      </c>
      <c r="K90" s="247"/>
      <c r="L90" s="283" t="s">
        <v>1037</v>
      </c>
      <c r="M90" s="263" t="s">
        <v>1038</v>
      </c>
      <c r="N90" s="262">
        <v>11750000</v>
      </c>
      <c r="O90" s="284">
        <v>11750971</v>
      </c>
      <c r="P90" s="289"/>
      <c r="Q90" s="303"/>
      <c r="R90" s="259"/>
      <c r="S90" s="258"/>
      <c r="T90" s="304"/>
    </row>
    <row r="91" spans="2:20" ht="11.1" customHeight="1" x14ac:dyDescent="0.2">
      <c r="B91" s="281" t="s">
        <v>748</v>
      </c>
      <c r="C91" s="272" t="s">
        <v>1039</v>
      </c>
      <c r="D91" s="271">
        <v>39851000</v>
      </c>
      <c r="E91" s="282">
        <v>39851000</v>
      </c>
      <c r="F91" s="247"/>
      <c r="G91" s="281" t="s">
        <v>796</v>
      </c>
      <c r="H91" s="272" t="s">
        <v>1040</v>
      </c>
      <c r="I91" s="271">
        <v>47105000</v>
      </c>
      <c r="J91" s="282">
        <v>47105000</v>
      </c>
      <c r="K91" s="247"/>
      <c r="L91" s="281" t="s">
        <v>670</v>
      </c>
      <c r="M91" s="272" t="s">
        <v>1041</v>
      </c>
      <c r="N91" s="271">
        <v>12620000</v>
      </c>
      <c r="O91" s="282">
        <v>12620970</v>
      </c>
      <c r="P91" s="289"/>
      <c r="Q91" s="281"/>
      <c r="R91" s="272"/>
      <c r="S91" s="271"/>
      <c r="T91" s="282"/>
    </row>
    <row r="92" spans="2:20" ht="11.1" customHeight="1" x14ac:dyDescent="0.2">
      <c r="B92" s="283" t="s">
        <v>800</v>
      </c>
      <c r="C92" s="263" t="s">
        <v>1042</v>
      </c>
      <c r="D92" s="262">
        <v>38690000</v>
      </c>
      <c r="E92" s="284">
        <v>38690000</v>
      </c>
      <c r="F92" s="247"/>
      <c r="G92" s="283" t="s">
        <v>796</v>
      </c>
      <c r="H92" s="263" t="s">
        <v>1043</v>
      </c>
      <c r="I92" s="262">
        <v>47410000</v>
      </c>
      <c r="J92" s="284">
        <v>47410000</v>
      </c>
      <c r="K92" s="247"/>
      <c r="L92" s="283" t="s">
        <v>629</v>
      </c>
      <c r="M92" s="263" t="s">
        <v>1044</v>
      </c>
      <c r="N92" s="262">
        <v>18800000</v>
      </c>
      <c r="O92" s="284">
        <v>18810802</v>
      </c>
      <c r="P92" s="289"/>
      <c r="Q92" s="303"/>
      <c r="R92" s="259"/>
      <c r="S92" s="258"/>
      <c r="T92" s="304"/>
    </row>
    <row r="93" spans="2:20" ht="11.1" customHeight="1" x14ac:dyDescent="0.2">
      <c r="B93" s="281" t="s">
        <v>748</v>
      </c>
      <c r="C93" s="272" t="s">
        <v>1045</v>
      </c>
      <c r="D93" s="271">
        <v>39644000</v>
      </c>
      <c r="E93" s="282">
        <v>39644000</v>
      </c>
      <c r="F93" s="247"/>
      <c r="G93" s="281" t="s">
        <v>796</v>
      </c>
      <c r="H93" s="272" t="s">
        <v>1046</v>
      </c>
      <c r="I93" s="271">
        <v>44975000</v>
      </c>
      <c r="J93" s="282">
        <v>44975000</v>
      </c>
      <c r="K93" s="247"/>
      <c r="L93" s="281" t="s">
        <v>678</v>
      </c>
      <c r="M93" s="272" t="s">
        <v>1047</v>
      </c>
      <c r="N93" s="271">
        <v>19200000</v>
      </c>
      <c r="O93" s="282">
        <v>19200000</v>
      </c>
      <c r="P93" s="289"/>
      <c r="Q93" s="281"/>
      <c r="R93" s="272"/>
      <c r="S93" s="271"/>
      <c r="T93" s="282"/>
    </row>
    <row r="94" spans="2:20" ht="11.1" customHeight="1" x14ac:dyDescent="0.2">
      <c r="B94" s="283" t="s">
        <v>478</v>
      </c>
      <c r="C94" s="263" t="s">
        <v>1048</v>
      </c>
      <c r="D94" s="262">
        <v>39387000</v>
      </c>
      <c r="E94" s="284">
        <v>39387000</v>
      </c>
      <c r="F94" s="247"/>
      <c r="G94" s="283" t="s">
        <v>774</v>
      </c>
      <c r="H94" s="263" t="s">
        <v>1049</v>
      </c>
      <c r="I94" s="262">
        <v>47648000</v>
      </c>
      <c r="J94" s="284">
        <v>47648000</v>
      </c>
      <c r="K94" s="247"/>
      <c r="L94" s="283" t="s">
        <v>640</v>
      </c>
      <c r="M94" s="263" t="s">
        <v>1050</v>
      </c>
      <c r="N94" s="262">
        <v>15670000</v>
      </c>
      <c r="O94" s="284">
        <v>15670000</v>
      </c>
      <c r="P94" s="289"/>
      <c r="Q94" s="303"/>
      <c r="R94" s="259"/>
      <c r="S94" s="258"/>
      <c r="T94" s="304"/>
    </row>
    <row r="95" spans="2:20" ht="11.1" customHeight="1" x14ac:dyDescent="0.2">
      <c r="B95" s="281" t="s">
        <v>478</v>
      </c>
      <c r="C95" s="272" t="s">
        <v>1051</v>
      </c>
      <c r="D95" s="271">
        <v>39580000</v>
      </c>
      <c r="E95" s="282">
        <v>39580000</v>
      </c>
      <c r="F95" s="247"/>
      <c r="G95" s="281" t="s">
        <v>394</v>
      </c>
      <c r="H95" s="272" t="s">
        <v>1052</v>
      </c>
      <c r="I95" s="271">
        <v>46766000</v>
      </c>
      <c r="J95" s="282">
        <v>46766000</v>
      </c>
      <c r="K95" s="247"/>
      <c r="L95" s="281" t="s">
        <v>651</v>
      </c>
      <c r="M95" s="272" t="s">
        <v>1053</v>
      </c>
      <c r="N95" s="271">
        <v>18260000</v>
      </c>
      <c r="O95" s="282">
        <v>18260970</v>
      </c>
      <c r="P95" s="289"/>
      <c r="Q95" s="281"/>
      <c r="R95" s="272"/>
      <c r="S95" s="271"/>
      <c r="T95" s="282"/>
    </row>
    <row r="96" spans="2:20" ht="11.1" customHeight="1" x14ac:dyDescent="0.2">
      <c r="B96" s="283" t="s">
        <v>748</v>
      </c>
      <c r="C96" s="263" t="s">
        <v>1054</v>
      </c>
      <c r="D96" s="262">
        <v>39695000</v>
      </c>
      <c r="E96" s="284">
        <v>39695000</v>
      </c>
      <c r="F96" s="247"/>
      <c r="G96" s="283" t="s">
        <v>787</v>
      </c>
      <c r="H96" s="263" t="s">
        <v>1055</v>
      </c>
      <c r="I96" s="262">
        <v>47550000</v>
      </c>
      <c r="J96" s="284">
        <v>47550000</v>
      </c>
      <c r="K96" s="247"/>
      <c r="L96" s="283" t="s">
        <v>670</v>
      </c>
      <c r="M96" s="263" t="s">
        <v>1056</v>
      </c>
      <c r="N96" s="262">
        <v>12525000</v>
      </c>
      <c r="O96" s="284">
        <v>12526106</v>
      </c>
      <c r="P96" s="289"/>
      <c r="Q96" s="303"/>
      <c r="R96" s="259"/>
      <c r="S96" s="258"/>
      <c r="T96" s="304"/>
    </row>
    <row r="97" spans="2:20" ht="11.1" customHeight="1" x14ac:dyDescent="0.2">
      <c r="B97" s="281" t="s">
        <v>748</v>
      </c>
      <c r="C97" s="272" t="s">
        <v>1057</v>
      </c>
      <c r="D97" s="271">
        <v>39840000</v>
      </c>
      <c r="E97" s="282">
        <v>39840000</v>
      </c>
      <c r="F97" s="247"/>
      <c r="G97" s="281" t="s">
        <v>787</v>
      </c>
      <c r="H97" s="272" t="s">
        <v>1058</v>
      </c>
      <c r="I97" s="271">
        <v>47590000</v>
      </c>
      <c r="J97" s="282">
        <v>47590970</v>
      </c>
      <c r="K97" s="247"/>
      <c r="L97" s="281" t="s">
        <v>1037</v>
      </c>
      <c r="M97" s="272" t="s">
        <v>677</v>
      </c>
      <c r="N97" s="271">
        <v>11700005</v>
      </c>
      <c r="O97" s="282">
        <v>11729899</v>
      </c>
      <c r="P97" s="289"/>
      <c r="Q97" s="281"/>
      <c r="R97" s="272"/>
      <c r="S97" s="271"/>
      <c r="T97" s="282"/>
    </row>
    <row r="98" spans="2:20" ht="11.1" customHeight="1" x14ac:dyDescent="0.2">
      <c r="B98" s="283" t="s">
        <v>748</v>
      </c>
      <c r="C98" s="263" t="s">
        <v>1059</v>
      </c>
      <c r="D98" s="262">
        <v>39832000</v>
      </c>
      <c r="E98" s="284">
        <v>39832000</v>
      </c>
      <c r="F98" s="247"/>
      <c r="G98" s="283" t="s">
        <v>796</v>
      </c>
      <c r="H98" s="263" t="s">
        <v>1060</v>
      </c>
      <c r="I98" s="262">
        <v>46985000</v>
      </c>
      <c r="J98" s="284">
        <v>46985000</v>
      </c>
      <c r="K98" s="247"/>
      <c r="L98" s="283" t="s">
        <v>678</v>
      </c>
      <c r="M98" s="263" t="s">
        <v>1061</v>
      </c>
      <c r="N98" s="262">
        <v>19470000</v>
      </c>
      <c r="O98" s="284">
        <v>19470970</v>
      </c>
      <c r="P98" s="289"/>
      <c r="Q98" s="303"/>
      <c r="R98" s="259"/>
      <c r="S98" s="258"/>
      <c r="T98" s="304"/>
    </row>
    <row r="99" spans="2:20" ht="11.1" customHeight="1" x14ac:dyDescent="0.2">
      <c r="B99" s="281" t="s">
        <v>748</v>
      </c>
      <c r="C99" s="272" t="s">
        <v>1062</v>
      </c>
      <c r="D99" s="271">
        <v>39637000</v>
      </c>
      <c r="E99" s="282">
        <v>39637000</v>
      </c>
      <c r="F99" s="247"/>
      <c r="G99" s="281" t="s">
        <v>796</v>
      </c>
      <c r="H99" s="272" t="s">
        <v>1063</v>
      </c>
      <c r="I99" s="271">
        <v>46980000</v>
      </c>
      <c r="J99" s="282">
        <v>46985970</v>
      </c>
      <c r="K99" s="247"/>
      <c r="L99" s="281" t="s">
        <v>651</v>
      </c>
      <c r="M99" s="272" t="s">
        <v>1064</v>
      </c>
      <c r="N99" s="271">
        <v>18255000</v>
      </c>
      <c r="O99" s="282">
        <v>18255000</v>
      </c>
      <c r="P99" s="289"/>
      <c r="Q99" s="281"/>
      <c r="R99" s="272"/>
      <c r="S99" s="271"/>
      <c r="T99" s="282"/>
    </row>
    <row r="100" spans="2:20" ht="11.1" customHeight="1" x14ac:dyDescent="0.2">
      <c r="B100" s="283" t="s">
        <v>748</v>
      </c>
      <c r="C100" s="263" t="s">
        <v>1065</v>
      </c>
      <c r="D100" s="262">
        <v>39870000</v>
      </c>
      <c r="E100" s="284">
        <v>39870000</v>
      </c>
      <c r="F100" s="247"/>
      <c r="G100" s="283" t="s">
        <v>796</v>
      </c>
      <c r="H100" s="263" t="s">
        <v>1066</v>
      </c>
      <c r="I100" s="262">
        <v>44900000</v>
      </c>
      <c r="J100" s="284">
        <v>44900975</v>
      </c>
      <c r="K100" s="247"/>
      <c r="L100" s="283" t="s">
        <v>670</v>
      </c>
      <c r="M100" s="263" t="s">
        <v>1067</v>
      </c>
      <c r="N100" s="262">
        <v>12800000</v>
      </c>
      <c r="O100" s="284">
        <v>12800970</v>
      </c>
      <c r="P100" s="289"/>
      <c r="Q100" s="303"/>
      <c r="R100" s="259"/>
      <c r="S100" s="258"/>
      <c r="T100" s="304"/>
    </row>
    <row r="101" spans="2:20" ht="11.1" customHeight="1" x14ac:dyDescent="0.2">
      <c r="B101" s="281" t="s">
        <v>478</v>
      </c>
      <c r="C101" s="272" t="s">
        <v>1068</v>
      </c>
      <c r="D101" s="271">
        <v>39558000</v>
      </c>
      <c r="E101" s="282">
        <v>39558000</v>
      </c>
      <c r="F101" s="247"/>
      <c r="G101" s="281" t="s">
        <v>796</v>
      </c>
      <c r="H101" s="272" t="s">
        <v>1069</v>
      </c>
      <c r="I101" s="271">
        <v>47440000</v>
      </c>
      <c r="J101" s="282">
        <v>47440000</v>
      </c>
      <c r="K101" s="247"/>
      <c r="L101" s="281" t="s">
        <v>648</v>
      </c>
      <c r="M101" s="272" t="s">
        <v>1070</v>
      </c>
      <c r="N101" s="271">
        <v>11900000</v>
      </c>
      <c r="O101" s="282">
        <v>11900971</v>
      </c>
      <c r="P101" s="289"/>
      <c r="Q101" s="281"/>
      <c r="R101" s="272"/>
      <c r="S101" s="271"/>
      <c r="T101" s="282"/>
    </row>
    <row r="102" spans="2:20" ht="11.1" customHeight="1" x14ac:dyDescent="0.2">
      <c r="B102" s="283" t="s">
        <v>478</v>
      </c>
      <c r="C102" s="263" t="s">
        <v>1071</v>
      </c>
      <c r="D102" s="262">
        <v>39505000</v>
      </c>
      <c r="E102" s="284">
        <v>39505000</v>
      </c>
      <c r="F102" s="247"/>
      <c r="G102" s="283" t="s">
        <v>796</v>
      </c>
      <c r="H102" s="263" t="s">
        <v>1072</v>
      </c>
      <c r="I102" s="262">
        <v>47460000</v>
      </c>
      <c r="J102" s="284">
        <v>47460000</v>
      </c>
      <c r="K102" s="247"/>
      <c r="L102" s="283" t="s">
        <v>629</v>
      </c>
      <c r="M102" s="263" t="s">
        <v>1073</v>
      </c>
      <c r="N102" s="262">
        <v>18380000</v>
      </c>
      <c r="O102" s="284">
        <v>18380000</v>
      </c>
      <c r="P102" s="289"/>
      <c r="Q102" s="303"/>
      <c r="R102" s="259"/>
      <c r="S102" s="258"/>
      <c r="T102" s="304"/>
    </row>
    <row r="103" spans="2:20" ht="11.1" customHeight="1" x14ac:dyDescent="0.2">
      <c r="B103" s="281" t="s">
        <v>478</v>
      </c>
      <c r="C103" s="272" t="s">
        <v>1074</v>
      </c>
      <c r="D103" s="271">
        <v>39592000</v>
      </c>
      <c r="E103" s="282">
        <v>39592000</v>
      </c>
      <c r="F103" s="247"/>
      <c r="G103" s="281" t="s">
        <v>802</v>
      </c>
      <c r="H103" s="272" t="s">
        <v>1075</v>
      </c>
      <c r="I103" s="271">
        <v>48850000</v>
      </c>
      <c r="J103" s="282">
        <v>48850977</v>
      </c>
      <c r="K103" s="247"/>
      <c r="L103" s="281" t="s">
        <v>629</v>
      </c>
      <c r="M103" s="272" t="s">
        <v>1076</v>
      </c>
      <c r="N103" s="271">
        <v>18430000</v>
      </c>
      <c r="O103" s="282">
        <v>18430970</v>
      </c>
      <c r="P103" s="289"/>
      <c r="Q103" s="281"/>
      <c r="R103" s="272"/>
      <c r="S103" s="271"/>
      <c r="T103" s="282"/>
    </row>
    <row r="104" spans="2:20" ht="11.1" customHeight="1" x14ac:dyDescent="0.2">
      <c r="B104" s="283" t="s">
        <v>748</v>
      </c>
      <c r="C104" s="263" t="s">
        <v>1077</v>
      </c>
      <c r="D104" s="262">
        <v>39782000</v>
      </c>
      <c r="E104" s="284">
        <v>39782000</v>
      </c>
      <c r="F104" s="247"/>
      <c r="G104" s="283" t="s">
        <v>774</v>
      </c>
      <c r="H104" s="263" t="s">
        <v>1078</v>
      </c>
      <c r="I104" s="262">
        <v>47655000</v>
      </c>
      <c r="J104" s="284">
        <v>47655000</v>
      </c>
      <c r="K104" s="247"/>
      <c r="L104" s="283" t="s">
        <v>629</v>
      </c>
      <c r="M104" s="263" t="s">
        <v>1079</v>
      </c>
      <c r="N104" s="262">
        <v>18315000</v>
      </c>
      <c r="O104" s="284">
        <v>18315000</v>
      </c>
      <c r="P104" s="289"/>
      <c r="Q104" s="303"/>
      <c r="R104" s="259"/>
      <c r="S104" s="258"/>
      <c r="T104" s="304"/>
    </row>
    <row r="105" spans="2:20" ht="11.1" customHeight="1" x14ac:dyDescent="0.2">
      <c r="B105" s="281" t="s">
        <v>478</v>
      </c>
      <c r="C105" s="272" t="s">
        <v>1080</v>
      </c>
      <c r="D105" s="271">
        <v>39522500</v>
      </c>
      <c r="E105" s="282">
        <v>39522500</v>
      </c>
      <c r="F105" s="247"/>
      <c r="G105" s="281" t="s">
        <v>802</v>
      </c>
      <c r="H105" s="272" t="s">
        <v>1081</v>
      </c>
      <c r="I105" s="271">
        <v>48960000</v>
      </c>
      <c r="J105" s="282">
        <v>48967970</v>
      </c>
      <c r="K105" s="247"/>
      <c r="L105" s="281" t="s">
        <v>629</v>
      </c>
      <c r="M105" s="272" t="s">
        <v>1082</v>
      </c>
      <c r="N105" s="271">
        <v>18470000</v>
      </c>
      <c r="O105" s="282">
        <v>18470000</v>
      </c>
      <c r="P105" s="289"/>
      <c r="Q105" s="281"/>
      <c r="R105" s="272"/>
      <c r="S105" s="271"/>
      <c r="T105" s="282"/>
    </row>
    <row r="106" spans="2:20" ht="11.1" customHeight="1" x14ac:dyDescent="0.2">
      <c r="B106" s="283" t="s">
        <v>478</v>
      </c>
      <c r="C106" s="263" t="s">
        <v>1083</v>
      </c>
      <c r="D106" s="262">
        <v>39570000</v>
      </c>
      <c r="E106" s="284">
        <v>39570000</v>
      </c>
      <c r="F106" s="247"/>
      <c r="G106" s="283" t="s">
        <v>796</v>
      </c>
      <c r="H106" s="263" t="s">
        <v>1084</v>
      </c>
      <c r="I106" s="262">
        <v>44920000</v>
      </c>
      <c r="J106" s="284">
        <v>44920971</v>
      </c>
      <c r="K106" s="247"/>
      <c r="L106" s="283" t="s">
        <v>678</v>
      </c>
      <c r="M106" s="263" t="s">
        <v>1085</v>
      </c>
      <c r="N106" s="262">
        <v>19273000</v>
      </c>
      <c r="O106" s="284">
        <v>19273000</v>
      </c>
      <c r="P106" s="289"/>
      <c r="Q106" s="303"/>
      <c r="R106" s="259"/>
      <c r="S106" s="258"/>
      <c r="T106" s="304"/>
    </row>
    <row r="107" spans="2:20" ht="11.1" customHeight="1" x14ac:dyDescent="0.2">
      <c r="B107" s="281" t="s">
        <v>478</v>
      </c>
      <c r="C107" s="272" t="s">
        <v>1086</v>
      </c>
      <c r="D107" s="271">
        <v>39265000</v>
      </c>
      <c r="E107" s="282">
        <v>39265000</v>
      </c>
      <c r="F107" s="247"/>
      <c r="G107" s="281" t="s">
        <v>802</v>
      </c>
      <c r="H107" s="272" t="s">
        <v>1087</v>
      </c>
      <c r="I107" s="271">
        <v>48965000</v>
      </c>
      <c r="J107" s="282">
        <v>48965000</v>
      </c>
      <c r="K107" s="247"/>
      <c r="L107" s="281" t="s">
        <v>640</v>
      </c>
      <c r="M107" s="272" t="s">
        <v>1088</v>
      </c>
      <c r="N107" s="271">
        <v>15790000</v>
      </c>
      <c r="O107" s="282">
        <v>15790000</v>
      </c>
      <c r="P107" s="289"/>
      <c r="Q107" s="281"/>
      <c r="R107" s="272"/>
      <c r="S107" s="271"/>
      <c r="T107" s="282"/>
    </row>
    <row r="108" spans="2:20" ht="11.1" customHeight="1" x14ac:dyDescent="0.2">
      <c r="B108" s="283" t="s">
        <v>478</v>
      </c>
      <c r="C108" s="263" t="s">
        <v>1089</v>
      </c>
      <c r="D108" s="262">
        <v>39397000</v>
      </c>
      <c r="E108" s="284">
        <v>39397000</v>
      </c>
      <c r="F108" s="247"/>
      <c r="G108" s="283" t="s">
        <v>397</v>
      </c>
      <c r="H108" s="263" t="s">
        <v>1090</v>
      </c>
      <c r="I108" s="262">
        <v>47920000</v>
      </c>
      <c r="J108" s="284">
        <v>47920000</v>
      </c>
      <c r="K108" s="247"/>
      <c r="L108" s="283" t="s">
        <v>619</v>
      </c>
      <c r="M108" s="263" t="s">
        <v>1091</v>
      </c>
      <c r="N108" s="262">
        <v>19920000</v>
      </c>
      <c r="O108" s="284">
        <v>19929899</v>
      </c>
      <c r="P108" s="289"/>
      <c r="Q108" s="303"/>
      <c r="R108" s="259"/>
      <c r="S108" s="258"/>
      <c r="T108" s="304"/>
    </row>
    <row r="109" spans="2:20" ht="11.1" customHeight="1" x14ac:dyDescent="0.2">
      <c r="B109" s="281" t="s">
        <v>748</v>
      </c>
      <c r="C109" s="272" t="s">
        <v>1092</v>
      </c>
      <c r="D109" s="271">
        <v>39965000</v>
      </c>
      <c r="E109" s="282">
        <v>39965000</v>
      </c>
      <c r="F109" s="247"/>
      <c r="G109" s="281" t="s">
        <v>796</v>
      </c>
      <c r="H109" s="272" t="s">
        <v>1093</v>
      </c>
      <c r="I109" s="271">
        <v>44925000</v>
      </c>
      <c r="J109" s="282">
        <v>44927970</v>
      </c>
      <c r="K109" s="247"/>
      <c r="L109" s="281" t="s">
        <v>678</v>
      </c>
      <c r="M109" s="272" t="s">
        <v>1094</v>
      </c>
      <c r="N109" s="271">
        <v>19250000</v>
      </c>
      <c r="O109" s="282">
        <v>19250000</v>
      </c>
      <c r="P109" s="289"/>
      <c r="Q109" s="281"/>
      <c r="R109" s="272"/>
      <c r="S109" s="271"/>
      <c r="T109" s="282"/>
    </row>
    <row r="110" spans="2:20" ht="11.1" customHeight="1" x14ac:dyDescent="0.2">
      <c r="B110" s="283" t="s">
        <v>748</v>
      </c>
      <c r="C110" s="263" t="s">
        <v>1095</v>
      </c>
      <c r="D110" s="262">
        <v>39833000</v>
      </c>
      <c r="E110" s="284">
        <v>39833000</v>
      </c>
      <c r="F110" s="247"/>
      <c r="G110" s="283" t="s">
        <v>787</v>
      </c>
      <c r="H110" s="263" t="s">
        <v>1096</v>
      </c>
      <c r="I110" s="262">
        <v>46520000</v>
      </c>
      <c r="J110" s="284">
        <v>46520000</v>
      </c>
      <c r="K110" s="247"/>
      <c r="L110" s="283" t="s">
        <v>640</v>
      </c>
      <c r="M110" s="263" t="s">
        <v>1097</v>
      </c>
      <c r="N110" s="262">
        <v>15785000</v>
      </c>
      <c r="O110" s="284">
        <v>15785000</v>
      </c>
      <c r="P110" s="289"/>
      <c r="Q110" s="303"/>
      <c r="R110" s="259"/>
      <c r="S110" s="258"/>
      <c r="T110" s="304"/>
    </row>
    <row r="111" spans="2:20" ht="11.1" customHeight="1" x14ac:dyDescent="0.2">
      <c r="B111" s="281" t="s">
        <v>478</v>
      </c>
      <c r="C111" s="272" t="s">
        <v>1098</v>
      </c>
      <c r="D111" s="271">
        <v>39350000</v>
      </c>
      <c r="E111" s="282">
        <v>39350000</v>
      </c>
      <c r="F111" s="247"/>
      <c r="G111" s="281" t="s">
        <v>796</v>
      </c>
      <c r="H111" s="272" t="s">
        <v>1099</v>
      </c>
      <c r="I111" s="271">
        <v>44898000</v>
      </c>
      <c r="J111" s="282">
        <v>44898000</v>
      </c>
      <c r="K111" s="247"/>
      <c r="L111" s="281" t="s">
        <v>640</v>
      </c>
      <c r="M111" s="272" t="s">
        <v>1100</v>
      </c>
      <c r="N111" s="271">
        <v>15775000</v>
      </c>
      <c r="O111" s="282">
        <v>15775970</v>
      </c>
      <c r="P111" s="289"/>
      <c r="Q111" s="281"/>
      <c r="R111" s="272"/>
      <c r="S111" s="271"/>
      <c r="T111" s="282"/>
    </row>
    <row r="112" spans="2:20" ht="11.1" customHeight="1" x14ac:dyDescent="0.2">
      <c r="B112" s="283" t="s">
        <v>478</v>
      </c>
      <c r="C112" s="263" t="s">
        <v>1101</v>
      </c>
      <c r="D112" s="262">
        <v>39455000</v>
      </c>
      <c r="E112" s="284">
        <v>39455000</v>
      </c>
      <c r="F112" s="247"/>
      <c r="G112" s="283" t="s">
        <v>419</v>
      </c>
      <c r="H112" s="263" t="s">
        <v>813</v>
      </c>
      <c r="I112" s="262">
        <v>45158000</v>
      </c>
      <c r="J112" s="284">
        <v>45158000</v>
      </c>
      <c r="K112" s="247"/>
      <c r="L112" s="283" t="s">
        <v>678</v>
      </c>
      <c r="M112" s="263" t="s">
        <v>1102</v>
      </c>
      <c r="N112" s="262">
        <v>17940000</v>
      </c>
      <c r="O112" s="284">
        <v>17940000</v>
      </c>
      <c r="P112" s="289"/>
      <c r="Q112" s="303"/>
      <c r="R112" s="259"/>
      <c r="S112" s="258"/>
      <c r="T112" s="304"/>
    </row>
    <row r="113" spans="2:20" ht="11.1" customHeight="1" x14ac:dyDescent="0.2">
      <c r="B113" s="281" t="s">
        <v>478</v>
      </c>
      <c r="C113" s="272" t="s">
        <v>1103</v>
      </c>
      <c r="D113" s="271">
        <v>39318000</v>
      </c>
      <c r="E113" s="282">
        <v>39318000</v>
      </c>
      <c r="F113" s="247"/>
      <c r="G113" s="281" t="s">
        <v>796</v>
      </c>
      <c r="H113" s="272" t="s">
        <v>1104</v>
      </c>
      <c r="I113" s="271">
        <v>44905000</v>
      </c>
      <c r="J113" s="282">
        <v>44905971</v>
      </c>
      <c r="K113" s="247"/>
      <c r="L113" s="281" t="s">
        <v>635</v>
      </c>
      <c r="M113" s="272" t="s">
        <v>685</v>
      </c>
      <c r="N113" s="271">
        <v>11010000</v>
      </c>
      <c r="O113" s="282">
        <v>11200970</v>
      </c>
      <c r="P113" s="289"/>
      <c r="Q113" s="281"/>
      <c r="R113" s="272"/>
      <c r="S113" s="271"/>
      <c r="T113" s="282"/>
    </row>
    <row r="114" spans="2:20" ht="11.1" customHeight="1" x14ac:dyDescent="0.2">
      <c r="B114" s="283" t="s">
        <v>478</v>
      </c>
      <c r="C114" s="263" t="s">
        <v>1105</v>
      </c>
      <c r="D114" s="262">
        <v>39536000</v>
      </c>
      <c r="E114" s="284">
        <v>39536000</v>
      </c>
      <c r="F114" s="247"/>
      <c r="G114" s="283" t="s">
        <v>394</v>
      </c>
      <c r="H114" s="263" t="s">
        <v>1106</v>
      </c>
      <c r="I114" s="262">
        <v>46960000</v>
      </c>
      <c r="J114" s="284">
        <v>46960970</v>
      </c>
      <c r="K114" s="247"/>
      <c r="L114" s="283" t="s">
        <v>678</v>
      </c>
      <c r="M114" s="263" t="s">
        <v>1107</v>
      </c>
      <c r="N114" s="262">
        <v>17970000</v>
      </c>
      <c r="O114" s="284">
        <v>17970000</v>
      </c>
      <c r="P114" s="289"/>
      <c r="Q114" s="303"/>
      <c r="R114" s="259"/>
      <c r="S114" s="258"/>
      <c r="T114" s="304"/>
    </row>
    <row r="115" spans="2:20" ht="11.1" customHeight="1" x14ac:dyDescent="0.2">
      <c r="B115" s="281" t="s">
        <v>478</v>
      </c>
      <c r="C115" s="272" t="s">
        <v>1108</v>
      </c>
      <c r="D115" s="271">
        <v>39594000</v>
      </c>
      <c r="E115" s="282">
        <v>39594000</v>
      </c>
      <c r="F115" s="247"/>
      <c r="G115" s="281" t="s">
        <v>397</v>
      </c>
      <c r="H115" s="272" t="s">
        <v>1109</v>
      </c>
      <c r="I115" s="271">
        <v>47850000</v>
      </c>
      <c r="J115" s="282">
        <v>47865899</v>
      </c>
      <c r="K115" s="247"/>
      <c r="L115" s="281" t="s">
        <v>670</v>
      </c>
      <c r="M115" s="272" t="s">
        <v>1110</v>
      </c>
      <c r="N115" s="271">
        <v>12830000</v>
      </c>
      <c r="O115" s="282">
        <v>12830971</v>
      </c>
      <c r="P115" s="289"/>
      <c r="Q115" s="281"/>
      <c r="R115" s="272"/>
      <c r="S115" s="271"/>
      <c r="T115" s="282"/>
    </row>
    <row r="116" spans="2:20" ht="11.1" customHeight="1" x14ac:dyDescent="0.2">
      <c r="B116" s="283" t="s">
        <v>478</v>
      </c>
      <c r="C116" s="263" t="s">
        <v>1111</v>
      </c>
      <c r="D116" s="262">
        <v>39470000</v>
      </c>
      <c r="E116" s="284">
        <v>39470000</v>
      </c>
      <c r="F116" s="247"/>
      <c r="G116" s="283" t="s">
        <v>787</v>
      </c>
      <c r="H116" s="263" t="s">
        <v>1112</v>
      </c>
      <c r="I116" s="262">
        <v>46500000</v>
      </c>
      <c r="J116" s="284">
        <v>46500970</v>
      </c>
      <c r="K116" s="247"/>
      <c r="L116" s="283" t="s">
        <v>619</v>
      </c>
      <c r="M116" s="263" t="s">
        <v>1113</v>
      </c>
      <c r="N116" s="262">
        <v>18940000</v>
      </c>
      <c r="O116" s="284">
        <v>18940142</v>
      </c>
      <c r="P116" s="289"/>
      <c r="Q116" s="303"/>
      <c r="R116" s="259"/>
      <c r="S116" s="258"/>
      <c r="T116" s="304"/>
    </row>
    <row r="117" spans="2:20" ht="11.1" customHeight="1" x14ac:dyDescent="0.2">
      <c r="B117" s="281" t="s">
        <v>748</v>
      </c>
      <c r="C117" s="272" t="s">
        <v>1114</v>
      </c>
      <c r="D117" s="271">
        <v>39815000</v>
      </c>
      <c r="E117" s="282">
        <v>39815000</v>
      </c>
      <c r="F117" s="247"/>
      <c r="G117" s="281" t="s">
        <v>774</v>
      </c>
      <c r="H117" s="272" t="s">
        <v>1115</v>
      </c>
      <c r="I117" s="271">
        <v>46440000</v>
      </c>
      <c r="J117" s="282">
        <v>46440971</v>
      </c>
      <c r="K117" s="247"/>
      <c r="L117" s="281" t="s">
        <v>1037</v>
      </c>
      <c r="M117" s="272" t="s">
        <v>692</v>
      </c>
      <c r="N117" s="271">
        <v>11310000</v>
      </c>
      <c r="O117" s="282">
        <v>11399899</v>
      </c>
      <c r="P117" s="289"/>
      <c r="Q117" s="281"/>
      <c r="R117" s="272"/>
      <c r="S117" s="271"/>
      <c r="T117" s="282"/>
    </row>
    <row r="118" spans="2:20" ht="11.1" customHeight="1" x14ac:dyDescent="0.2">
      <c r="B118" s="283" t="s">
        <v>748</v>
      </c>
      <c r="C118" s="263" t="s">
        <v>1116</v>
      </c>
      <c r="D118" s="262">
        <v>39993000</v>
      </c>
      <c r="E118" s="284">
        <v>39993000</v>
      </c>
      <c r="F118" s="247"/>
      <c r="G118" s="283" t="s">
        <v>397</v>
      </c>
      <c r="H118" s="263" t="s">
        <v>1117</v>
      </c>
      <c r="I118" s="262">
        <v>47160000</v>
      </c>
      <c r="J118" s="284">
        <v>47160000</v>
      </c>
      <c r="K118" s="247"/>
      <c r="L118" s="283" t="s">
        <v>629</v>
      </c>
      <c r="M118" s="263" t="s">
        <v>1118</v>
      </c>
      <c r="N118" s="262">
        <v>18840000</v>
      </c>
      <c r="O118" s="284">
        <v>18840970</v>
      </c>
      <c r="P118" s="289"/>
      <c r="Q118" s="303"/>
      <c r="R118" s="259"/>
      <c r="S118" s="258"/>
      <c r="T118" s="304"/>
    </row>
    <row r="119" spans="2:20" ht="11.1" customHeight="1" x14ac:dyDescent="0.2">
      <c r="B119" s="281" t="s">
        <v>748</v>
      </c>
      <c r="C119" s="272" t="s">
        <v>1119</v>
      </c>
      <c r="D119" s="271">
        <v>39830000</v>
      </c>
      <c r="E119" s="282">
        <v>39830000</v>
      </c>
      <c r="F119" s="247"/>
      <c r="G119" s="281" t="s">
        <v>397</v>
      </c>
      <c r="H119" s="272" t="s">
        <v>1120</v>
      </c>
      <c r="I119" s="271">
        <v>47770000</v>
      </c>
      <c r="J119" s="282">
        <v>47770000</v>
      </c>
      <c r="K119" s="247"/>
      <c r="L119" s="281" t="s">
        <v>648</v>
      </c>
      <c r="M119" s="272" t="s">
        <v>1121</v>
      </c>
      <c r="N119" s="271">
        <v>11910000</v>
      </c>
      <c r="O119" s="282">
        <v>11910970</v>
      </c>
      <c r="P119" s="289"/>
      <c r="Q119" s="281"/>
      <c r="R119" s="272"/>
      <c r="S119" s="271"/>
      <c r="T119" s="282"/>
    </row>
    <row r="120" spans="2:20" ht="11.1" customHeight="1" x14ac:dyDescent="0.2">
      <c r="B120" s="283" t="s">
        <v>478</v>
      </c>
      <c r="C120" s="263" t="s">
        <v>1122</v>
      </c>
      <c r="D120" s="262">
        <v>39515000</v>
      </c>
      <c r="E120" s="284">
        <v>39515000</v>
      </c>
      <c r="F120" s="247"/>
      <c r="G120" s="283" t="s">
        <v>796</v>
      </c>
      <c r="H120" s="263" t="s">
        <v>1123</v>
      </c>
      <c r="I120" s="262">
        <v>44995000</v>
      </c>
      <c r="J120" s="284">
        <v>44995000</v>
      </c>
      <c r="K120" s="247"/>
      <c r="L120" s="283" t="s">
        <v>670</v>
      </c>
      <c r="M120" s="263" t="s">
        <v>1124</v>
      </c>
      <c r="N120" s="262">
        <v>12690000</v>
      </c>
      <c r="O120" s="284">
        <v>12690970</v>
      </c>
      <c r="P120" s="289"/>
      <c r="Q120" s="303"/>
      <c r="R120" s="259"/>
      <c r="S120" s="258"/>
      <c r="T120" s="304"/>
    </row>
    <row r="121" spans="2:20" ht="11.1" customHeight="1" x14ac:dyDescent="0.2">
      <c r="B121" s="281" t="s">
        <v>748</v>
      </c>
      <c r="C121" s="272" t="s">
        <v>1125</v>
      </c>
      <c r="D121" s="271">
        <v>39625000</v>
      </c>
      <c r="E121" s="282">
        <v>39625000</v>
      </c>
      <c r="F121" s="247"/>
      <c r="G121" s="281" t="s">
        <v>787</v>
      </c>
      <c r="H121" s="272" t="s">
        <v>1126</v>
      </c>
      <c r="I121" s="271">
        <v>46720000</v>
      </c>
      <c r="J121" s="282">
        <v>46720000</v>
      </c>
      <c r="K121" s="247"/>
      <c r="L121" s="281" t="s">
        <v>640</v>
      </c>
      <c r="M121" s="272" t="s">
        <v>1127</v>
      </c>
      <c r="N121" s="271">
        <v>15360000</v>
      </c>
      <c r="O121" s="282">
        <v>15360000</v>
      </c>
      <c r="P121" s="289"/>
      <c r="Q121" s="281"/>
      <c r="R121" s="272"/>
      <c r="S121" s="271"/>
      <c r="T121" s="282"/>
    </row>
    <row r="122" spans="2:20" ht="11.1" customHeight="1" x14ac:dyDescent="0.2">
      <c r="B122" s="283" t="s">
        <v>748</v>
      </c>
      <c r="C122" s="263" t="s">
        <v>1128</v>
      </c>
      <c r="D122" s="262">
        <v>39955000</v>
      </c>
      <c r="E122" s="284">
        <v>39955000</v>
      </c>
      <c r="F122" s="247"/>
      <c r="G122" s="283" t="s">
        <v>787</v>
      </c>
      <c r="H122" s="263" t="s">
        <v>1129</v>
      </c>
      <c r="I122" s="262">
        <v>47580000</v>
      </c>
      <c r="J122" s="284">
        <v>47580970</v>
      </c>
      <c r="K122" s="247"/>
      <c r="L122" s="283" t="s">
        <v>640</v>
      </c>
      <c r="M122" s="263" t="s">
        <v>1130</v>
      </c>
      <c r="N122" s="262">
        <v>15380000</v>
      </c>
      <c r="O122" s="284">
        <v>15380000</v>
      </c>
      <c r="P122" s="289"/>
      <c r="Q122" s="303"/>
      <c r="R122" s="259"/>
      <c r="S122" s="258"/>
      <c r="T122" s="304"/>
    </row>
    <row r="123" spans="2:20" ht="11.1" customHeight="1" x14ac:dyDescent="0.2">
      <c r="B123" s="281" t="s">
        <v>748</v>
      </c>
      <c r="C123" s="272" t="s">
        <v>1131</v>
      </c>
      <c r="D123" s="271">
        <v>39610000</v>
      </c>
      <c r="E123" s="282">
        <v>39610000</v>
      </c>
      <c r="F123" s="247"/>
      <c r="G123" s="281" t="s">
        <v>394</v>
      </c>
      <c r="H123" s="272" t="s">
        <v>1132</v>
      </c>
      <c r="I123" s="271">
        <v>44850000</v>
      </c>
      <c r="J123" s="282">
        <v>44850970</v>
      </c>
      <c r="K123" s="247"/>
      <c r="L123" s="281" t="s">
        <v>678</v>
      </c>
      <c r="M123" s="272" t="s">
        <v>1133</v>
      </c>
      <c r="N123" s="271">
        <v>19590000</v>
      </c>
      <c r="O123" s="282">
        <v>19590000</v>
      </c>
      <c r="P123" s="289"/>
      <c r="Q123" s="281"/>
      <c r="R123" s="272"/>
      <c r="S123" s="271"/>
      <c r="T123" s="282"/>
    </row>
    <row r="124" spans="2:20" ht="11.1" customHeight="1" x14ac:dyDescent="0.2">
      <c r="B124" s="283" t="s">
        <v>748</v>
      </c>
      <c r="C124" s="263" t="s">
        <v>1134</v>
      </c>
      <c r="D124" s="262">
        <v>39605000</v>
      </c>
      <c r="E124" s="284">
        <v>39605000</v>
      </c>
      <c r="F124" s="247"/>
      <c r="G124" s="283" t="s">
        <v>796</v>
      </c>
      <c r="H124" s="263" t="s">
        <v>1135</v>
      </c>
      <c r="I124" s="262">
        <v>44885000</v>
      </c>
      <c r="J124" s="284">
        <v>44885000</v>
      </c>
      <c r="K124" s="247"/>
      <c r="L124" s="283" t="s">
        <v>629</v>
      </c>
      <c r="M124" s="263" t="s">
        <v>1136</v>
      </c>
      <c r="N124" s="262">
        <v>18890000</v>
      </c>
      <c r="O124" s="284">
        <v>18890970</v>
      </c>
      <c r="P124" s="289"/>
      <c r="Q124" s="303"/>
      <c r="R124" s="259"/>
      <c r="S124" s="258"/>
      <c r="T124" s="304"/>
    </row>
    <row r="125" spans="2:20" ht="11.1" customHeight="1" x14ac:dyDescent="0.2">
      <c r="B125" s="281" t="s">
        <v>748</v>
      </c>
      <c r="C125" s="272" t="s">
        <v>1137</v>
      </c>
      <c r="D125" s="271">
        <v>39613000</v>
      </c>
      <c r="E125" s="282">
        <v>39613000</v>
      </c>
      <c r="F125" s="247"/>
      <c r="G125" s="281" t="s">
        <v>787</v>
      </c>
      <c r="H125" s="272" t="s">
        <v>1138</v>
      </c>
      <c r="I125" s="271">
        <v>47115000</v>
      </c>
      <c r="J125" s="282">
        <v>47115970</v>
      </c>
      <c r="K125" s="247"/>
      <c r="L125" s="281" t="s">
        <v>629</v>
      </c>
      <c r="M125" s="272" t="s">
        <v>1139</v>
      </c>
      <c r="N125" s="271">
        <v>18740000</v>
      </c>
      <c r="O125" s="282">
        <v>18740970</v>
      </c>
      <c r="P125" s="289"/>
      <c r="Q125" s="281"/>
      <c r="R125" s="272"/>
      <c r="S125" s="271"/>
      <c r="T125" s="282"/>
    </row>
    <row r="126" spans="2:20" ht="11.1" customHeight="1" x14ac:dyDescent="0.2">
      <c r="B126" s="283" t="s">
        <v>748</v>
      </c>
      <c r="C126" s="263" t="s">
        <v>1140</v>
      </c>
      <c r="D126" s="262">
        <v>39930000</v>
      </c>
      <c r="E126" s="284">
        <v>39930000</v>
      </c>
      <c r="F126" s="247"/>
      <c r="G126" s="283" t="s">
        <v>787</v>
      </c>
      <c r="H126" s="263" t="s">
        <v>1141</v>
      </c>
      <c r="I126" s="262">
        <v>46730000</v>
      </c>
      <c r="J126" s="284">
        <v>46730970</v>
      </c>
      <c r="K126" s="247"/>
      <c r="L126" s="283" t="s">
        <v>629</v>
      </c>
      <c r="M126" s="263" t="s">
        <v>1142</v>
      </c>
      <c r="N126" s="262">
        <v>18425000</v>
      </c>
      <c r="O126" s="284">
        <v>18425970</v>
      </c>
      <c r="P126" s="289"/>
      <c r="Q126" s="303"/>
      <c r="R126" s="259"/>
      <c r="S126" s="258"/>
      <c r="T126" s="304"/>
    </row>
    <row r="127" spans="2:20" ht="11.1" customHeight="1" x14ac:dyDescent="0.2">
      <c r="B127" s="281" t="s">
        <v>748</v>
      </c>
      <c r="C127" s="272" t="s">
        <v>1143</v>
      </c>
      <c r="D127" s="271">
        <v>39933000</v>
      </c>
      <c r="E127" s="282">
        <v>39933000</v>
      </c>
      <c r="F127" s="247"/>
      <c r="G127" s="281" t="s">
        <v>787</v>
      </c>
      <c r="H127" s="272" t="s">
        <v>1144</v>
      </c>
      <c r="I127" s="271">
        <v>46715000</v>
      </c>
      <c r="J127" s="282">
        <v>46715000</v>
      </c>
      <c r="K127" s="247"/>
      <c r="L127" s="281" t="s">
        <v>629</v>
      </c>
      <c r="M127" s="272" t="s">
        <v>1145</v>
      </c>
      <c r="N127" s="271">
        <v>18830000</v>
      </c>
      <c r="O127" s="282">
        <v>18837050</v>
      </c>
      <c r="P127" s="289"/>
      <c r="Q127" s="281"/>
      <c r="R127" s="272"/>
      <c r="S127" s="271"/>
      <c r="T127" s="282"/>
    </row>
    <row r="128" spans="2:20" ht="11.1" customHeight="1" x14ac:dyDescent="0.2">
      <c r="B128" s="283" t="s">
        <v>748</v>
      </c>
      <c r="C128" s="263" t="s">
        <v>1146</v>
      </c>
      <c r="D128" s="262">
        <v>39692000</v>
      </c>
      <c r="E128" s="284">
        <v>39692000</v>
      </c>
      <c r="F128" s="247"/>
      <c r="G128" s="283" t="s">
        <v>787</v>
      </c>
      <c r="H128" s="263" t="s">
        <v>1147</v>
      </c>
      <c r="I128" s="262">
        <v>46735000</v>
      </c>
      <c r="J128" s="284">
        <v>46735000</v>
      </c>
      <c r="K128" s="247"/>
      <c r="L128" s="283" t="s">
        <v>678</v>
      </c>
      <c r="M128" s="263" t="s">
        <v>1148</v>
      </c>
      <c r="N128" s="262">
        <v>19280000</v>
      </c>
      <c r="O128" s="284">
        <v>19280000</v>
      </c>
      <c r="P128" s="289"/>
      <c r="Q128" s="303"/>
      <c r="R128" s="259"/>
      <c r="S128" s="258"/>
      <c r="T128" s="304"/>
    </row>
    <row r="129" spans="2:20" ht="11.1" customHeight="1" x14ac:dyDescent="0.2">
      <c r="B129" s="281" t="s">
        <v>478</v>
      </c>
      <c r="C129" s="272" t="s">
        <v>1149</v>
      </c>
      <c r="D129" s="271">
        <v>39508000</v>
      </c>
      <c r="E129" s="282">
        <v>39508000</v>
      </c>
      <c r="F129" s="247"/>
      <c r="G129" s="281" t="s">
        <v>787</v>
      </c>
      <c r="H129" s="272" t="s">
        <v>1150</v>
      </c>
      <c r="I129" s="271">
        <v>47530000</v>
      </c>
      <c r="J129" s="282">
        <v>47530970</v>
      </c>
      <c r="K129" s="247"/>
      <c r="L129" s="281" t="s">
        <v>629</v>
      </c>
      <c r="M129" s="272" t="s">
        <v>1151</v>
      </c>
      <c r="N129" s="271">
        <v>18860000</v>
      </c>
      <c r="O129" s="282">
        <v>18860000</v>
      </c>
      <c r="P129" s="289"/>
      <c r="Q129" s="281"/>
      <c r="R129" s="272"/>
      <c r="S129" s="271"/>
      <c r="T129" s="282"/>
    </row>
    <row r="130" spans="2:20" ht="11.1" customHeight="1" x14ac:dyDescent="0.2">
      <c r="B130" s="283" t="s">
        <v>478</v>
      </c>
      <c r="C130" s="263" t="s">
        <v>1152</v>
      </c>
      <c r="D130" s="262">
        <v>39440000</v>
      </c>
      <c r="E130" s="284">
        <v>39440000</v>
      </c>
      <c r="F130" s="247"/>
      <c r="G130" s="283" t="s">
        <v>787</v>
      </c>
      <c r="H130" s="263" t="s">
        <v>1153</v>
      </c>
      <c r="I130" s="262">
        <v>47565000</v>
      </c>
      <c r="J130" s="284">
        <v>47565000</v>
      </c>
      <c r="K130" s="247"/>
      <c r="L130" s="283" t="s">
        <v>651</v>
      </c>
      <c r="M130" s="263" t="s">
        <v>1154</v>
      </c>
      <c r="N130" s="262">
        <v>18265000</v>
      </c>
      <c r="O130" s="284">
        <v>18265000</v>
      </c>
      <c r="P130" s="289"/>
      <c r="Q130" s="303"/>
      <c r="R130" s="259"/>
      <c r="S130" s="258"/>
      <c r="T130" s="304"/>
    </row>
    <row r="131" spans="2:20" ht="11.1" customHeight="1" x14ac:dyDescent="0.2">
      <c r="B131" s="281" t="s">
        <v>478</v>
      </c>
      <c r="C131" s="272" t="s">
        <v>1155</v>
      </c>
      <c r="D131" s="271">
        <v>39480000</v>
      </c>
      <c r="E131" s="282">
        <v>39480000</v>
      </c>
      <c r="F131" s="247"/>
      <c r="G131" s="281" t="s">
        <v>1032</v>
      </c>
      <c r="H131" s="272" t="s">
        <v>1156</v>
      </c>
      <c r="I131" s="271">
        <v>46460000</v>
      </c>
      <c r="J131" s="282">
        <v>46460970</v>
      </c>
      <c r="K131" s="247"/>
      <c r="L131" s="281" t="s">
        <v>640</v>
      </c>
      <c r="M131" s="272" t="s">
        <v>1157</v>
      </c>
      <c r="N131" s="271">
        <v>15770000</v>
      </c>
      <c r="O131" s="282">
        <v>15770000</v>
      </c>
      <c r="P131" s="289"/>
      <c r="Q131" s="281"/>
      <c r="R131" s="272"/>
      <c r="S131" s="271"/>
      <c r="T131" s="282"/>
    </row>
    <row r="132" spans="2:20" ht="11.1" customHeight="1" x14ac:dyDescent="0.2">
      <c r="B132" s="283" t="s">
        <v>478</v>
      </c>
      <c r="C132" s="263" t="s">
        <v>1158</v>
      </c>
      <c r="D132" s="262">
        <v>39335000</v>
      </c>
      <c r="E132" s="284">
        <v>39335000</v>
      </c>
      <c r="F132" s="247"/>
      <c r="G132" s="283" t="s">
        <v>394</v>
      </c>
      <c r="H132" s="263" t="s">
        <v>1159</v>
      </c>
      <c r="I132" s="262">
        <v>46930000</v>
      </c>
      <c r="J132" s="284">
        <v>46930000</v>
      </c>
      <c r="K132" s="247"/>
      <c r="L132" s="283"/>
      <c r="M132" s="263"/>
      <c r="N132" s="262"/>
      <c r="O132" s="284"/>
      <c r="P132" s="289"/>
      <c r="Q132" s="303"/>
      <c r="R132" s="259"/>
      <c r="S132" s="258"/>
      <c r="T132" s="304"/>
    </row>
    <row r="133" spans="2:20" ht="11.1" customHeight="1" x14ac:dyDescent="0.2">
      <c r="B133" s="281" t="s">
        <v>748</v>
      </c>
      <c r="C133" s="272" t="s">
        <v>1160</v>
      </c>
      <c r="D133" s="271">
        <v>39645000</v>
      </c>
      <c r="E133" s="282">
        <v>39645000</v>
      </c>
      <c r="F133" s="247"/>
      <c r="G133" s="281" t="s">
        <v>774</v>
      </c>
      <c r="H133" s="272" t="s">
        <v>1161</v>
      </c>
      <c r="I133" s="271">
        <v>46443000</v>
      </c>
      <c r="J133" s="282">
        <v>46443000</v>
      </c>
      <c r="K133" s="247"/>
      <c r="L133" s="305"/>
      <c r="M133" s="306"/>
      <c r="N133" s="307"/>
      <c r="O133" s="308"/>
      <c r="P133" s="289"/>
      <c r="Q133" s="281"/>
      <c r="R133" s="272"/>
      <c r="S133" s="271"/>
      <c r="T133" s="282"/>
    </row>
    <row r="134" spans="2:20" ht="11.1" customHeight="1" x14ac:dyDescent="0.2">
      <c r="B134" s="283" t="s">
        <v>478</v>
      </c>
      <c r="C134" s="263" t="s">
        <v>1162</v>
      </c>
      <c r="D134" s="262">
        <v>39370000</v>
      </c>
      <c r="E134" s="284">
        <v>39370000</v>
      </c>
      <c r="F134" s="247"/>
      <c r="G134" s="283" t="s">
        <v>787</v>
      </c>
      <c r="H134" s="263" t="s">
        <v>1163</v>
      </c>
      <c r="I134" s="262">
        <v>47500000</v>
      </c>
      <c r="J134" s="284">
        <v>47500970</v>
      </c>
      <c r="K134" s="247"/>
      <c r="L134" s="283"/>
      <c r="M134" s="263"/>
      <c r="N134" s="262"/>
      <c r="O134" s="284"/>
      <c r="P134" s="289"/>
      <c r="Q134" s="303"/>
      <c r="R134" s="259"/>
      <c r="S134" s="258"/>
      <c r="T134" s="304"/>
    </row>
    <row r="135" spans="2:20" ht="11.1" customHeight="1" x14ac:dyDescent="0.2">
      <c r="B135" s="281" t="s">
        <v>748</v>
      </c>
      <c r="C135" s="272" t="s">
        <v>1164</v>
      </c>
      <c r="D135" s="271">
        <v>39960000</v>
      </c>
      <c r="E135" s="282">
        <v>39960000</v>
      </c>
      <c r="F135" s="247"/>
      <c r="G135" s="281" t="s">
        <v>802</v>
      </c>
      <c r="H135" s="272" t="s">
        <v>1165</v>
      </c>
      <c r="I135" s="271">
        <v>44697000</v>
      </c>
      <c r="J135" s="282">
        <v>44697000</v>
      </c>
      <c r="K135" s="247"/>
      <c r="L135" s="305"/>
      <c r="M135" s="306"/>
      <c r="N135" s="307"/>
      <c r="O135" s="308"/>
      <c r="P135" s="289"/>
      <c r="Q135" s="281"/>
      <c r="R135" s="272"/>
      <c r="S135" s="271"/>
      <c r="T135" s="282"/>
    </row>
    <row r="136" spans="2:20" ht="11.1" customHeight="1" x14ac:dyDescent="0.2">
      <c r="B136" s="283" t="s">
        <v>748</v>
      </c>
      <c r="C136" s="263" t="s">
        <v>1166</v>
      </c>
      <c r="D136" s="262">
        <v>39890000</v>
      </c>
      <c r="E136" s="284">
        <v>39890000</v>
      </c>
      <c r="F136" s="247"/>
      <c r="G136" s="283" t="s">
        <v>394</v>
      </c>
      <c r="H136" s="263" t="s">
        <v>1167</v>
      </c>
      <c r="I136" s="262">
        <v>46765000</v>
      </c>
      <c r="J136" s="284">
        <v>46766971</v>
      </c>
      <c r="K136" s="247"/>
      <c r="L136" s="283"/>
      <c r="M136" s="263"/>
      <c r="N136" s="262"/>
      <c r="O136" s="284"/>
      <c r="P136" s="289"/>
      <c r="Q136" s="303"/>
      <c r="R136" s="259"/>
      <c r="S136" s="258"/>
      <c r="T136" s="304"/>
    </row>
    <row r="137" spans="2:20" ht="11.1" customHeight="1" x14ac:dyDescent="0.2">
      <c r="B137" s="281" t="s">
        <v>478</v>
      </c>
      <c r="C137" s="272" t="s">
        <v>1168</v>
      </c>
      <c r="D137" s="271">
        <v>39240000</v>
      </c>
      <c r="E137" s="282">
        <v>39240000</v>
      </c>
      <c r="F137" s="247"/>
      <c r="G137" s="281" t="s">
        <v>802</v>
      </c>
      <c r="H137" s="272" t="s">
        <v>1169</v>
      </c>
      <c r="I137" s="271">
        <v>44770000</v>
      </c>
      <c r="J137" s="282">
        <v>44770971</v>
      </c>
      <c r="K137" s="247"/>
      <c r="L137" s="305"/>
      <c r="M137" s="306"/>
      <c r="N137" s="307"/>
      <c r="O137" s="308"/>
      <c r="P137" s="289"/>
      <c r="Q137" s="281"/>
      <c r="R137" s="272"/>
      <c r="S137" s="271"/>
      <c r="T137" s="282"/>
    </row>
    <row r="138" spans="2:20" ht="11.1" customHeight="1" x14ac:dyDescent="0.2">
      <c r="B138" s="283" t="s">
        <v>748</v>
      </c>
      <c r="C138" s="263" t="s">
        <v>1170</v>
      </c>
      <c r="D138" s="262">
        <v>39920000</v>
      </c>
      <c r="E138" s="284">
        <v>39920000</v>
      </c>
      <c r="F138" s="247"/>
      <c r="G138" s="283" t="s">
        <v>796</v>
      </c>
      <c r="H138" s="263" t="s">
        <v>1171</v>
      </c>
      <c r="I138" s="262">
        <v>47454000</v>
      </c>
      <c r="J138" s="284">
        <v>47454000</v>
      </c>
      <c r="K138" s="247"/>
      <c r="L138" s="283"/>
      <c r="M138" s="263"/>
      <c r="N138" s="262"/>
      <c r="O138" s="284"/>
      <c r="P138" s="289"/>
      <c r="Q138" s="303"/>
      <c r="R138" s="259"/>
      <c r="S138" s="258"/>
      <c r="T138" s="304"/>
    </row>
    <row r="139" spans="2:20" ht="11.1" customHeight="1" x14ac:dyDescent="0.2">
      <c r="B139" s="281" t="s">
        <v>748</v>
      </c>
      <c r="C139" s="272" t="s">
        <v>1172</v>
      </c>
      <c r="D139" s="271">
        <v>39642000</v>
      </c>
      <c r="E139" s="282">
        <v>39642000</v>
      </c>
      <c r="F139" s="247"/>
      <c r="G139" s="281" t="s">
        <v>802</v>
      </c>
      <c r="H139" s="272" t="s">
        <v>1173</v>
      </c>
      <c r="I139" s="271">
        <v>44755000</v>
      </c>
      <c r="J139" s="282">
        <v>44755000</v>
      </c>
      <c r="K139" s="247"/>
      <c r="L139" s="305"/>
      <c r="M139" s="306"/>
      <c r="N139" s="307"/>
      <c r="O139" s="308"/>
      <c r="P139" s="289"/>
      <c r="Q139" s="281"/>
      <c r="R139" s="272"/>
      <c r="S139" s="271"/>
      <c r="T139" s="282"/>
    </row>
    <row r="140" spans="2:20" ht="11.1" customHeight="1" x14ac:dyDescent="0.2">
      <c r="B140" s="283" t="s">
        <v>748</v>
      </c>
      <c r="C140" s="263" t="s">
        <v>1174</v>
      </c>
      <c r="D140" s="262">
        <v>39775000</v>
      </c>
      <c r="E140" s="284">
        <v>39775000</v>
      </c>
      <c r="F140" s="247"/>
      <c r="G140" s="283" t="s">
        <v>796</v>
      </c>
      <c r="H140" s="263" t="s">
        <v>1175</v>
      </c>
      <c r="I140" s="262">
        <v>44930000</v>
      </c>
      <c r="J140" s="284">
        <v>44930000</v>
      </c>
      <c r="K140" s="247"/>
      <c r="L140" s="283"/>
      <c r="M140" s="263"/>
      <c r="N140" s="262"/>
      <c r="O140" s="284"/>
      <c r="P140" s="289"/>
      <c r="Q140" s="303"/>
      <c r="R140" s="259"/>
      <c r="S140" s="258"/>
      <c r="T140" s="304"/>
    </row>
    <row r="141" spans="2:20" ht="11.1" customHeight="1" x14ac:dyDescent="0.2">
      <c r="B141" s="281" t="s">
        <v>478</v>
      </c>
      <c r="C141" s="272" t="s">
        <v>1176</v>
      </c>
      <c r="D141" s="271">
        <v>39575000</v>
      </c>
      <c r="E141" s="282">
        <v>39575000</v>
      </c>
      <c r="F141" s="247"/>
      <c r="G141" s="281" t="s">
        <v>796</v>
      </c>
      <c r="H141" s="272" t="s">
        <v>1177</v>
      </c>
      <c r="I141" s="271">
        <v>44912000</v>
      </c>
      <c r="J141" s="282">
        <v>44912000</v>
      </c>
      <c r="K141" s="247"/>
      <c r="L141" s="305"/>
      <c r="M141" s="306"/>
      <c r="N141" s="307"/>
      <c r="O141" s="308"/>
      <c r="P141" s="289"/>
      <c r="Q141" s="281"/>
      <c r="R141" s="272"/>
      <c r="S141" s="271"/>
      <c r="T141" s="282"/>
    </row>
    <row r="142" spans="2:20" ht="11.1" customHeight="1" x14ac:dyDescent="0.2">
      <c r="B142" s="283" t="s">
        <v>748</v>
      </c>
      <c r="C142" s="263" t="s">
        <v>1178</v>
      </c>
      <c r="D142" s="262">
        <v>39693500</v>
      </c>
      <c r="E142" s="284">
        <v>39693500</v>
      </c>
      <c r="F142" s="247"/>
      <c r="G142" s="283" t="s">
        <v>787</v>
      </c>
      <c r="H142" s="263" t="s">
        <v>1179</v>
      </c>
      <c r="I142" s="262">
        <v>47585000</v>
      </c>
      <c r="J142" s="284">
        <v>47585000</v>
      </c>
      <c r="K142" s="247"/>
      <c r="L142" s="283"/>
      <c r="M142" s="263"/>
      <c r="N142" s="262"/>
      <c r="O142" s="284"/>
      <c r="P142" s="289"/>
      <c r="Q142" s="303"/>
      <c r="R142" s="259"/>
      <c r="S142" s="258"/>
      <c r="T142" s="304"/>
    </row>
    <row r="143" spans="2:20" ht="11.1" customHeight="1" x14ac:dyDescent="0.2">
      <c r="B143" s="281" t="s">
        <v>478</v>
      </c>
      <c r="C143" s="272" t="s">
        <v>1180</v>
      </c>
      <c r="D143" s="271">
        <v>39590000</v>
      </c>
      <c r="E143" s="282">
        <v>39590000</v>
      </c>
      <c r="F143" s="247"/>
      <c r="G143" s="281" t="s">
        <v>802</v>
      </c>
      <c r="H143" s="272" t="s">
        <v>1181</v>
      </c>
      <c r="I143" s="271">
        <v>44713000</v>
      </c>
      <c r="J143" s="282">
        <v>44713000</v>
      </c>
      <c r="K143" s="247"/>
      <c r="L143" s="305"/>
      <c r="M143" s="306"/>
      <c r="N143" s="307"/>
      <c r="O143" s="308"/>
      <c r="P143" s="289"/>
      <c r="Q143" s="281"/>
      <c r="R143" s="272"/>
      <c r="S143" s="271"/>
      <c r="T143" s="282"/>
    </row>
    <row r="144" spans="2:20" ht="11.1" customHeight="1" x14ac:dyDescent="0.2">
      <c r="B144" s="283" t="s">
        <v>478</v>
      </c>
      <c r="C144" s="263" t="s">
        <v>1182</v>
      </c>
      <c r="D144" s="262">
        <v>39467000</v>
      </c>
      <c r="E144" s="284">
        <v>39467000</v>
      </c>
      <c r="F144" s="247"/>
      <c r="G144" s="283" t="s">
        <v>796</v>
      </c>
      <c r="H144" s="263" t="s">
        <v>1183</v>
      </c>
      <c r="I144" s="262">
        <v>44927000</v>
      </c>
      <c r="J144" s="284">
        <v>44927000</v>
      </c>
      <c r="K144" s="247"/>
      <c r="L144" s="283"/>
      <c r="M144" s="263"/>
      <c r="N144" s="262"/>
      <c r="O144" s="284"/>
      <c r="P144" s="289"/>
      <c r="Q144" s="303"/>
      <c r="R144" s="259"/>
      <c r="S144" s="258"/>
      <c r="T144" s="304"/>
    </row>
    <row r="145" spans="2:20" ht="11.1" customHeight="1" x14ac:dyDescent="0.2">
      <c r="B145" s="281" t="s">
        <v>748</v>
      </c>
      <c r="C145" s="272" t="s">
        <v>1184</v>
      </c>
      <c r="D145" s="271">
        <v>39825000</v>
      </c>
      <c r="E145" s="282">
        <v>39825000</v>
      </c>
      <c r="F145" s="247"/>
      <c r="G145" s="281" t="s">
        <v>787</v>
      </c>
      <c r="H145" s="272" t="s">
        <v>1185</v>
      </c>
      <c r="I145" s="271">
        <v>46738000</v>
      </c>
      <c r="J145" s="282">
        <v>46738000</v>
      </c>
      <c r="K145" s="247"/>
      <c r="L145" s="305"/>
      <c r="M145" s="306"/>
      <c r="N145" s="307"/>
      <c r="O145" s="308"/>
      <c r="P145" s="289"/>
      <c r="Q145" s="281"/>
      <c r="R145" s="272"/>
      <c r="S145" s="271"/>
      <c r="T145" s="282"/>
    </row>
    <row r="146" spans="2:20" ht="11.1" customHeight="1" x14ac:dyDescent="0.2">
      <c r="B146" s="283" t="s">
        <v>478</v>
      </c>
      <c r="C146" s="263" t="s">
        <v>1186</v>
      </c>
      <c r="D146" s="262">
        <v>39360000</v>
      </c>
      <c r="E146" s="284">
        <v>39360000</v>
      </c>
      <c r="F146" s="247"/>
      <c r="G146" s="283" t="s">
        <v>397</v>
      </c>
      <c r="H146" s="263" t="s">
        <v>1187</v>
      </c>
      <c r="I146" s="262">
        <v>47970000</v>
      </c>
      <c r="J146" s="284">
        <v>47980970</v>
      </c>
      <c r="K146" s="247"/>
      <c r="L146" s="283"/>
      <c r="M146" s="263"/>
      <c r="N146" s="262"/>
      <c r="O146" s="284"/>
      <c r="P146" s="289"/>
      <c r="Q146" s="303"/>
      <c r="R146" s="259"/>
      <c r="S146" s="258"/>
      <c r="T146" s="304"/>
    </row>
    <row r="147" spans="2:20" ht="11.1" customHeight="1" x14ac:dyDescent="0.2">
      <c r="B147" s="281" t="s">
        <v>748</v>
      </c>
      <c r="C147" s="272" t="s">
        <v>1188</v>
      </c>
      <c r="D147" s="271">
        <v>39655000</v>
      </c>
      <c r="E147" s="282">
        <v>39655000</v>
      </c>
      <c r="F147" s="247"/>
      <c r="G147" s="281" t="s">
        <v>394</v>
      </c>
      <c r="H147" s="272" t="s">
        <v>1189</v>
      </c>
      <c r="I147" s="271">
        <v>46815000</v>
      </c>
      <c r="J147" s="282">
        <v>46815000</v>
      </c>
      <c r="K147" s="247"/>
      <c r="L147" s="305"/>
      <c r="M147" s="306"/>
      <c r="N147" s="307"/>
      <c r="O147" s="308"/>
      <c r="P147" s="289"/>
      <c r="Q147" s="281"/>
      <c r="R147" s="272"/>
      <c r="S147" s="271"/>
      <c r="T147" s="282"/>
    </row>
    <row r="148" spans="2:20" ht="11.1" customHeight="1" x14ac:dyDescent="0.2">
      <c r="B148" s="283" t="s">
        <v>478</v>
      </c>
      <c r="C148" s="263" t="s">
        <v>1190</v>
      </c>
      <c r="D148" s="262">
        <v>39485000</v>
      </c>
      <c r="E148" s="284">
        <v>39485000</v>
      </c>
      <c r="F148" s="247"/>
      <c r="G148" s="283" t="s">
        <v>1032</v>
      </c>
      <c r="H148" s="263" t="s">
        <v>1191</v>
      </c>
      <c r="I148" s="262">
        <v>46470000</v>
      </c>
      <c r="J148" s="284">
        <v>46470970</v>
      </c>
      <c r="K148" s="247"/>
      <c r="L148" s="283"/>
      <c r="M148" s="263"/>
      <c r="N148" s="262"/>
      <c r="O148" s="284"/>
      <c r="P148" s="289"/>
      <c r="Q148" s="303"/>
      <c r="R148" s="259"/>
      <c r="S148" s="258"/>
      <c r="T148" s="304"/>
    </row>
    <row r="149" spans="2:20" ht="11.1" customHeight="1" x14ac:dyDescent="0.2">
      <c r="B149" s="281" t="s">
        <v>478</v>
      </c>
      <c r="C149" s="272" t="s">
        <v>1192</v>
      </c>
      <c r="D149" s="271">
        <v>39437000</v>
      </c>
      <c r="E149" s="282">
        <v>39437000</v>
      </c>
      <c r="F149" s="247"/>
      <c r="G149" s="281" t="s">
        <v>796</v>
      </c>
      <c r="H149" s="272" t="s">
        <v>1193</v>
      </c>
      <c r="I149" s="271">
        <v>44892000</v>
      </c>
      <c r="J149" s="282">
        <v>44892970</v>
      </c>
      <c r="K149" s="247"/>
      <c r="L149" s="305"/>
      <c r="M149" s="306"/>
      <c r="N149" s="307"/>
      <c r="O149" s="308"/>
      <c r="P149" s="289"/>
      <c r="Q149" s="281"/>
      <c r="R149" s="272"/>
      <c r="S149" s="271"/>
      <c r="T149" s="282"/>
    </row>
    <row r="150" spans="2:20" ht="11.1" customHeight="1" x14ac:dyDescent="0.2">
      <c r="B150" s="283" t="s">
        <v>748</v>
      </c>
      <c r="C150" s="263" t="s">
        <v>1194</v>
      </c>
      <c r="D150" s="262">
        <v>39824000</v>
      </c>
      <c r="E150" s="284">
        <v>39824000</v>
      </c>
      <c r="F150" s="247"/>
      <c r="G150" s="283" t="s">
        <v>774</v>
      </c>
      <c r="H150" s="263" t="s">
        <v>1195</v>
      </c>
      <c r="I150" s="262">
        <v>47640000</v>
      </c>
      <c r="J150" s="284">
        <v>47640970</v>
      </c>
      <c r="K150" s="247"/>
      <c r="L150" s="283"/>
      <c r="M150" s="263"/>
      <c r="N150" s="262"/>
      <c r="O150" s="284"/>
      <c r="P150" s="289"/>
      <c r="Q150" s="303"/>
      <c r="R150" s="259"/>
      <c r="S150" s="258"/>
      <c r="T150" s="304"/>
    </row>
    <row r="151" spans="2:20" ht="11.1" customHeight="1" x14ac:dyDescent="0.2">
      <c r="B151" s="281" t="s">
        <v>478</v>
      </c>
      <c r="C151" s="272" t="s">
        <v>1196</v>
      </c>
      <c r="D151" s="271">
        <v>39336000</v>
      </c>
      <c r="E151" s="282">
        <v>39336000</v>
      </c>
      <c r="F151" s="247"/>
      <c r="G151" s="281" t="s">
        <v>397</v>
      </c>
      <c r="H151" s="272" t="s">
        <v>1197</v>
      </c>
      <c r="I151" s="271">
        <v>47150000</v>
      </c>
      <c r="J151" s="282">
        <v>47150970</v>
      </c>
      <c r="K151" s="247"/>
      <c r="L151" s="305"/>
      <c r="M151" s="306"/>
      <c r="N151" s="307"/>
      <c r="O151" s="308"/>
      <c r="P151" s="289"/>
      <c r="Q151" s="281"/>
      <c r="R151" s="272"/>
      <c r="S151" s="271"/>
      <c r="T151" s="282"/>
    </row>
    <row r="152" spans="2:20" ht="11.1" customHeight="1" x14ac:dyDescent="0.2">
      <c r="B152" s="283" t="s">
        <v>478</v>
      </c>
      <c r="C152" s="263" t="s">
        <v>1198</v>
      </c>
      <c r="D152" s="262">
        <v>39344000</v>
      </c>
      <c r="E152" s="284">
        <v>39344000</v>
      </c>
      <c r="F152" s="247"/>
      <c r="G152" s="283" t="s">
        <v>774</v>
      </c>
      <c r="H152" s="263" t="s">
        <v>1199</v>
      </c>
      <c r="I152" s="262">
        <v>47700000</v>
      </c>
      <c r="J152" s="284">
        <v>47700000</v>
      </c>
      <c r="K152" s="247"/>
      <c r="L152" s="283"/>
      <c r="M152" s="263"/>
      <c r="N152" s="262"/>
      <c r="O152" s="284"/>
      <c r="P152" s="289"/>
      <c r="Q152" s="303"/>
      <c r="R152" s="259"/>
      <c r="S152" s="258"/>
      <c r="T152" s="304"/>
    </row>
    <row r="153" spans="2:20" ht="11.1" customHeight="1" x14ac:dyDescent="0.2">
      <c r="B153" s="281" t="s">
        <v>748</v>
      </c>
      <c r="C153" s="272" t="s">
        <v>1200</v>
      </c>
      <c r="D153" s="271">
        <v>39873000</v>
      </c>
      <c r="E153" s="282">
        <v>39873000</v>
      </c>
      <c r="F153" s="247"/>
      <c r="G153" s="281" t="s">
        <v>796</v>
      </c>
      <c r="H153" s="272" t="s">
        <v>1201</v>
      </c>
      <c r="I153" s="271">
        <v>47490000</v>
      </c>
      <c r="J153" s="282">
        <v>47490000</v>
      </c>
      <c r="K153" s="247"/>
      <c r="L153" s="305"/>
      <c r="M153" s="306"/>
      <c r="N153" s="307"/>
      <c r="O153" s="308"/>
      <c r="P153" s="289"/>
      <c r="Q153" s="281"/>
      <c r="R153" s="272"/>
      <c r="S153" s="271"/>
      <c r="T153" s="282"/>
    </row>
    <row r="154" spans="2:20" ht="11.1" customHeight="1" x14ac:dyDescent="0.2">
      <c r="B154" s="283" t="s">
        <v>748</v>
      </c>
      <c r="C154" s="263" t="s">
        <v>1202</v>
      </c>
      <c r="D154" s="262">
        <v>39797000</v>
      </c>
      <c r="E154" s="284">
        <v>39797000</v>
      </c>
      <c r="F154" s="247"/>
      <c r="G154" s="283" t="s">
        <v>397</v>
      </c>
      <c r="H154" s="263" t="s">
        <v>1203</v>
      </c>
      <c r="I154" s="262">
        <v>47820000</v>
      </c>
      <c r="J154" s="284">
        <v>47820970</v>
      </c>
      <c r="K154" s="247"/>
      <c r="L154" s="283"/>
      <c r="M154" s="263"/>
      <c r="N154" s="262"/>
      <c r="O154" s="284"/>
      <c r="P154" s="289"/>
      <c r="Q154" s="303"/>
      <c r="R154" s="259"/>
      <c r="S154" s="258"/>
      <c r="T154" s="304"/>
    </row>
    <row r="155" spans="2:20" ht="11.1" customHeight="1" x14ac:dyDescent="0.2">
      <c r="B155" s="281" t="s">
        <v>748</v>
      </c>
      <c r="C155" s="272" t="s">
        <v>1204</v>
      </c>
      <c r="D155" s="271">
        <v>39690000</v>
      </c>
      <c r="E155" s="282">
        <v>39690000</v>
      </c>
      <c r="F155" s="247"/>
      <c r="G155" s="281" t="s">
        <v>774</v>
      </c>
      <c r="H155" s="272" t="s">
        <v>1205</v>
      </c>
      <c r="I155" s="271">
        <v>47665000</v>
      </c>
      <c r="J155" s="282">
        <v>47665970</v>
      </c>
      <c r="K155" s="247"/>
      <c r="L155" s="305"/>
      <c r="M155" s="306"/>
      <c r="N155" s="307"/>
      <c r="O155" s="308"/>
      <c r="P155" s="289"/>
      <c r="Q155" s="281"/>
      <c r="R155" s="272"/>
      <c r="S155" s="271"/>
      <c r="T155" s="282"/>
    </row>
    <row r="156" spans="2:20" ht="11.1" customHeight="1" x14ac:dyDescent="0.2">
      <c r="B156" s="283" t="s">
        <v>478</v>
      </c>
      <c r="C156" s="263" t="s">
        <v>1206</v>
      </c>
      <c r="D156" s="262">
        <v>39516000</v>
      </c>
      <c r="E156" s="284">
        <v>39516000</v>
      </c>
      <c r="F156" s="247"/>
      <c r="G156" s="283" t="s">
        <v>796</v>
      </c>
      <c r="H156" s="263" t="s">
        <v>1207</v>
      </c>
      <c r="I156" s="262">
        <v>44915000</v>
      </c>
      <c r="J156" s="284">
        <v>44915970</v>
      </c>
      <c r="K156" s="247"/>
      <c r="L156" s="283"/>
      <c r="M156" s="263"/>
      <c r="N156" s="262"/>
      <c r="O156" s="284"/>
      <c r="P156" s="289"/>
      <c r="Q156" s="303"/>
      <c r="R156" s="259"/>
      <c r="S156" s="258"/>
      <c r="T156" s="304"/>
    </row>
    <row r="157" spans="2:20" ht="11.1" customHeight="1" x14ac:dyDescent="0.2">
      <c r="B157" s="281" t="s">
        <v>478</v>
      </c>
      <c r="C157" s="272" t="s">
        <v>1208</v>
      </c>
      <c r="D157" s="271">
        <v>39460000</v>
      </c>
      <c r="E157" s="282">
        <v>39460000</v>
      </c>
      <c r="F157" s="247"/>
      <c r="G157" s="281" t="s">
        <v>802</v>
      </c>
      <c r="H157" s="272" t="s">
        <v>1209</v>
      </c>
      <c r="I157" s="271">
        <v>44698000</v>
      </c>
      <c r="J157" s="282">
        <v>44698970</v>
      </c>
      <c r="K157" s="247"/>
      <c r="L157" s="305"/>
      <c r="M157" s="306"/>
      <c r="N157" s="307"/>
      <c r="O157" s="308"/>
      <c r="P157" s="289"/>
      <c r="Q157" s="281"/>
      <c r="R157" s="272"/>
      <c r="S157" s="271"/>
      <c r="T157" s="282"/>
    </row>
    <row r="158" spans="2:20" ht="11.1" customHeight="1" x14ac:dyDescent="0.2">
      <c r="B158" s="283" t="s">
        <v>748</v>
      </c>
      <c r="C158" s="263" t="s">
        <v>1210</v>
      </c>
      <c r="D158" s="262">
        <v>39813000</v>
      </c>
      <c r="E158" s="284">
        <v>39813000</v>
      </c>
      <c r="F158" s="247"/>
      <c r="G158" s="283" t="s">
        <v>397</v>
      </c>
      <c r="H158" s="263" t="s">
        <v>1211</v>
      </c>
      <c r="I158" s="262">
        <v>47975000</v>
      </c>
      <c r="J158" s="284">
        <v>47975000</v>
      </c>
      <c r="K158" s="247"/>
      <c r="L158" s="283"/>
      <c r="M158" s="263"/>
      <c r="N158" s="262"/>
      <c r="O158" s="284"/>
      <c r="P158" s="289"/>
      <c r="Q158" s="303"/>
      <c r="R158" s="259"/>
      <c r="S158" s="258"/>
      <c r="T158" s="304"/>
    </row>
    <row r="159" spans="2:20" ht="11.1" customHeight="1" x14ac:dyDescent="0.2">
      <c r="B159" s="281" t="s">
        <v>748</v>
      </c>
      <c r="C159" s="272" t="s">
        <v>1212</v>
      </c>
      <c r="D159" s="271">
        <v>39915000</v>
      </c>
      <c r="E159" s="282">
        <v>39915000</v>
      </c>
      <c r="F159" s="247"/>
      <c r="G159" s="281" t="s">
        <v>787</v>
      </c>
      <c r="H159" s="272" t="s">
        <v>1213</v>
      </c>
      <c r="I159" s="271">
        <v>47570000</v>
      </c>
      <c r="J159" s="282">
        <v>47570970</v>
      </c>
      <c r="K159" s="247"/>
      <c r="L159" s="305"/>
      <c r="M159" s="306"/>
      <c r="N159" s="307"/>
      <c r="O159" s="308"/>
      <c r="P159" s="289"/>
      <c r="Q159" s="281"/>
      <c r="R159" s="272"/>
      <c r="S159" s="271"/>
      <c r="T159" s="282"/>
    </row>
    <row r="160" spans="2:20" ht="11.1" customHeight="1" x14ac:dyDescent="0.2">
      <c r="B160" s="283" t="s">
        <v>478</v>
      </c>
      <c r="C160" s="263" t="s">
        <v>1214</v>
      </c>
      <c r="D160" s="262">
        <v>39478000</v>
      </c>
      <c r="E160" s="284">
        <v>39478000</v>
      </c>
      <c r="F160" s="247"/>
      <c r="G160" s="283" t="s">
        <v>802</v>
      </c>
      <c r="H160" s="263" t="s">
        <v>1215</v>
      </c>
      <c r="I160" s="262">
        <v>44740000</v>
      </c>
      <c r="J160" s="284">
        <v>44740970</v>
      </c>
      <c r="K160" s="247"/>
      <c r="L160" s="283"/>
      <c r="M160" s="263"/>
      <c r="N160" s="262"/>
      <c r="O160" s="284"/>
      <c r="P160" s="289"/>
      <c r="Q160" s="303"/>
      <c r="R160" s="259"/>
      <c r="S160" s="258"/>
      <c r="T160" s="304"/>
    </row>
    <row r="161" spans="2:20" ht="11.1" customHeight="1" x14ac:dyDescent="0.2">
      <c r="B161" s="281" t="s">
        <v>478</v>
      </c>
      <c r="C161" s="272" t="s">
        <v>1216</v>
      </c>
      <c r="D161" s="271">
        <v>39527000</v>
      </c>
      <c r="E161" s="282">
        <v>39527000</v>
      </c>
      <c r="F161" s="247"/>
      <c r="G161" s="281" t="s">
        <v>796</v>
      </c>
      <c r="H161" s="272" t="s">
        <v>1217</v>
      </c>
      <c r="I161" s="271">
        <v>46900000</v>
      </c>
      <c r="J161" s="282">
        <v>46900970</v>
      </c>
      <c r="K161" s="247"/>
      <c r="L161" s="305"/>
      <c r="M161" s="306"/>
      <c r="N161" s="307"/>
      <c r="O161" s="308"/>
      <c r="P161" s="289"/>
      <c r="Q161" s="281"/>
      <c r="R161" s="272"/>
      <c r="S161" s="271"/>
      <c r="T161" s="282"/>
    </row>
    <row r="162" spans="2:20" ht="11.1" customHeight="1" x14ac:dyDescent="0.2">
      <c r="B162" s="283" t="s">
        <v>748</v>
      </c>
      <c r="C162" s="263" t="s">
        <v>1218</v>
      </c>
      <c r="D162" s="262">
        <v>39620000</v>
      </c>
      <c r="E162" s="284">
        <v>39620000</v>
      </c>
      <c r="F162" s="247"/>
      <c r="G162" s="283" t="s">
        <v>802</v>
      </c>
      <c r="H162" s="263" t="s">
        <v>1219</v>
      </c>
      <c r="I162" s="262">
        <v>48970000</v>
      </c>
      <c r="J162" s="284">
        <v>48970970</v>
      </c>
      <c r="K162" s="247"/>
      <c r="L162" s="283"/>
      <c r="M162" s="263"/>
      <c r="N162" s="262"/>
      <c r="O162" s="284"/>
      <c r="P162" s="289"/>
      <c r="Q162" s="303"/>
      <c r="R162" s="259"/>
      <c r="S162" s="258"/>
      <c r="T162" s="304"/>
    </row>
    <row r="163" spans="2:20" ht="11.1" customHeight="1" x14ac:dyDescent="0.2">
      <c r="B163" s="281" t="s">
        <v>748</v>
      </c>
      <c r="C163" s="272" t="s">
        <v>1220</v>
      </c>
      <c r="D163" s="271">
        <v>39664000</v>
      </c>
      <c r="E163" s="282">
        <v>39664000</v>
      </c>
      <c r="F163" s="247"/>
      <c r="G163" s="281" t="s">
        <v>774</v>
      </c>
      <c r="H163" s="272" t="s">
        <v>1221</v>
      </c>
      <c r="I163" s="271">
        <v>47630000</v>
      </c>
      <c r="J163" s="282">
        <v>47630970</v>
      </c>
      <c r="K163" s="247"/>
      <c r="L163" s="305"/>
      <c r="M163" s="306"/>
      <c r="N163" s="307"/>
      <c r="O163" s="308"/>
      <c r="P163" s="289"/>
      <c r="Q163" s="281"/>
      <c r="R163" s="272"/>
      <c r="S163" s="271"/>
      <c r="T163" s="282"/>
    </row>
    <row r="164" spans="2:20" ht="11.1" customHeight="1" x14ac:dyDescent="0.2">
      <c r="B164" s="283" t="s">
        <v>748</v>
      </c>
      <c r="C164" s="263" t="s">
        <v>1222</v>
      </c>
      <c r="D164" s="262">
        <v>39650000</v>
      </c>
      <c r="E164" s="284">
        <v>39650000</v>
      </c>
      <c r="F164" s="247"/>
      <c r="G164" s="283" t="s">
        <v>397</v>
      </c>
      <c r="H164" s="263" t="s">
        <v>1223</v>
      </c>
      <c r="I164" s="262">
        <v>47740000</v>
      </c>
      <c r="J164" s="284">
        <v>47740970</v>
      </c>
      <c r="K164" s="247"/>
      <c r="L164" s="283"/>
      <c r="M164" s="263"/>
      <c r="N164" s="262"/>
      <c r="O164" s="284"/>
      <c r="P164" s="289"/>
      <c r="Q164" s="303"/>
      <c r="R164" s="259"/>
      <c r="S164" s="258"/>
      <c r="T164" s="304"/>
    </row>
    <row r="165" spans="2:20" ht="11.1" customHeight="1" x14ac:dyDescent="0.2">
      <c r="B165" s="281" t="s">
        <v>478</v>
      </c>
      <c r="C165" s="272" t="s">
        <v>1224</v>
      </c>
      <c r="D165" s="271">
        <v>39420000</v>
      </c>
      <c r="E165" s="282">
        <v>39420000</v>
      </c>
      <c r="F165" s="247"/>
      <c r="G165" s="281" t="s">
        <v>802</v>
      </c>
      <c r="H165" s="272" t="s">
        <v>1225</v>
      </c>
      <c r="I165" s="271">
        <v>48993000</v>
      </c>
      <c r="J165" s="282">
        <v>48993000</v>
      </c>
      <c r="K165" s="247"/>
      <c r="L165" s="305"/>
      <c r="M165" s="306"/>
      <c r="N165" s="307"/>
      <c r="O165" s="308"/>
      <c r="P165" s="289"/>
      <c r="Q165" s="281"/>
      <c r="R165" s="272"/>
      <c r="S165" s="271"/>
      <c r="T165" s="282"/>
    </row>
    <row r="166" spans="2:20" ht="11.1" customHeight="1" x14ac:dyDescent="0.2">
      <c r="B166" s="283" t="s">
        <v>478</v>
      </c>
      <c r="C166" s="263" t="s">
        <v>1226</v>
      </c>
      <c r="D166" s="262">
        <v>39415000</v>
      </c>
      <c r="E166" s="284">
        <v>39415000</v>
      </c>
      <c r="F166" s="247"/>
      <c r="G166" s="283" t="s">
        <v>774</v>
      </c>
      <c r="H166" s="263" t="s">
        <v>1227</v>
      </c>
      <c r="I166" s="262">
        <v>47610000</v>
      </c>
      <c r="J166" s="284">
        <v>47610970</v>
      </c>
      <c r="K166" s="247"/>
      <c r="L166" s="283"/>
      <c r="M166" s="263"/>
      <c r="N166" s="262"/>
      <c r="O166" s="284"/>
      <c r="P166" s="289"/>
      <c r="Q166" s="303"/>
      <c r="R166" s="259"/>
      <c r="S166" s="258"/>
      <c r="T166" s="304"/>
    </row>
    <row r="167" spans="2:20" ht="11.1" customHeight="1" x14ac:dyDescent="0.2">
      <c r="B167" s="281" t="s">
        <v>478</v>
      </c>
      <c r="C167" s="272" t="s">
        <v>1228</v>
      </c>
      <c r="D167" s="271">
        <v>39465000</v>
      </c>
      <c r="E167" s="282">
        <v>39465000</v>
      </c>
      <c r="F167" s="247"/>
      <c r="G167" s="281" t="s">
        <v>397</v>
      </c>
      <c r="H167" s="272" t="s">
        <v>1229</v>
      </c>
      <c r="I167" s="271">
        <v>47825000</v>
      </c>
      <c r="J167" s="282">
        <v>47825000</v>
      </c>
      <c r="K167" s="247"/>
      <c r="L167" s="305"/>
      <c r="M167" s="306"/>
      <c r="N167" s="307"/>
      <c r="O167" s="308"/>
      <c r="P167" s="289"/>
      <c r="Q167" s="281"/>
      <c r="R167" s="272"/>
      <c r="S167" s="271"/>
      <c r="T167" s="282"/>
    </row>
    <row r="168" spans="2:20" ht="11.1" customHeight="1" x14ac:dyDescent="0.2">
      <c r="B168" s="283" t="s">
        <v>478</v>
      </c>
      <c r="C168" s="263" t="s">
        <v>1230</v>
      </c>
      <c r="D168" s="262">
        <v>39524000</v>
      </c>
      <c r="E168" s="284">
        <v>39524000</v>
      </c>
      <c r="F168" s="247"/>
      <c r="G168" s="283" t="s">
        <v>796</v>
      </c>
      <c r="H168" s="263" t="s">
        <v>1231</v>
      </c>
      <c r="I168" s="262">
        <v>44913000</v>
      </c>
      <c r="J168" s="284">
        <v>44913000</v>
      </c>
      <c r="K168" s="247"/>
      <c r="L168" s="283"/>
      <c r="M168" s="263"/>
      <c r="N168" s="262"/>
      <c r="O168" s="284"/>
      <c r="P168" s="289"/>
      <c r="Q168" s="303"/>
      <c r="R168" s="259"/>
      <c r="S168" s="258"/>
      <c r="T168" s="304"/>
    </row>
    <row r="169" spans="2:20" ht="11.1" customHeight="1" x14ac:dyDescent="0.2">
      <c r="B169" s="281" t="s">
        <v>478</v>
      </c>
      <c r="C169" s="272" t="s">
        <v>1232</v>
      </c>
      <c r="D169" s="271">
        <v>39495000</v>
      </c>
      <c r="E169" s="282">
        <v>39495000</v>
      </c>
      <c r="F169" s="247"/>
      <c r="G169" s="281" t="s">
        <v>796</v>
      </c>
      <c r="H169" s="272" t="s">
        <v>1233</v>
      </c>
      <c r="I169" s="271">
        <v>46990000</v>
      </c>
      <c r="J169" s="282">
        <v>46990970</v>
      </c>
      <c r="K169" s="247"/>
      <c r="L169" s="305"/>
      <c r="M169" s="306"/>
      <c r="N169" s="307"/>
      <c r="O169" s="308"/>
      <c r="P169" s="289"/>
      <c r="Q169" s="281"/>
      <c r="R169" s="272"/>
      <c r="S169" s="271"/>
      <c r="T169" s="282"/>
    </row>
    <row r="170" spans="2:20" ht="11.1" customHeight="1" x14ac:dyDescent="0.2">
      <c r="B170" s="283" t="s">
        <v>478</v>
      </c>
      <c r="C170" s="263" t="s">
        <v>1234</v>
      </c>
      <c r="D170" s="262">
        <v>39500000</v>
      </c>
      <c r="E170" s="284">
        <v>39500000</v>
      </c>
      <c r="F170" s="247"/>
      <c r="G170" s="283" t="s">
        <v>397</v>
      </c>
      <c r="H170" s="263" t="s">
        <v>1235</v>
      </c>
      <c r="I170" s="262">
        <v>47760000</v>
      </c>
      <c r="J170" s="284">
        <v>47760970</v>
      </c>
      <c r="K170" s="247"/>
      <c r="L170" s="283"/>
      <c r="M170" s="263"/>
      <c r="N170" s="262"/>
      <c r="O170" s="284"/>
      <c r="P170" s="289"/>
      <c r="Q170" s="303"/>
      <c r="R170" s="259"/>
      <c r="S170" s="258"/>
      <c r="T170" s="304"/>
    </row>
    <row r="171" spans="2:20" ht="11.1" customHeight="1" x14ac:dyDescent="0.2">
      <c r="B171" s="281" t="s">
        <v>748</v>
      </c>
      <c r="C171" s="272" t="s">
        <v>1236</v>
      </c>
      <c r="D171" s="271">
        <v>39893000</v>
      </c>
      <c r="E171" s="282">
        <v>39893000</v>
      </c>
      <c r="F171" s="247"/>
      <c r="G171" s="281" t="s">
        <v>397</v>
      </c>
      <c r="H171" s="272" t="s">
        <v>1237</v>
      </c>
      <c r="I171" s="271">
        <v>47930000</v>
      </c>
      <c r="J171" s="282">
        <v>47930000</v>
      </c>
      <c r="K171" s="247"/>
      <c r="L171" s="305"/>
      <c r="M171" s="306"/>
      <c r="N171" s="307"/>
      <c r="O171" s="308"/>
      <c r="P171" s="289"/>
      <c r="Q171" s="281"/>
      <c r="R171" s="272"/>
      <c r="S171" s="271"/>
      <c r="T171" s="282"/>
    </row>
    <row r="172" spans="2:20" ht="11.1" customHeight="1" x14ac:dyDescent="0.2">
      <c r="B172" s="283" t="s">
        <v>478</v>
      </c>
      <c r="C172" s="263" t="s">
        <v>1238</v>
      </c>
      <c r="D172" s="262">
        <v>39468000</v>
      </c>
      <c r="E172" s="284">
        <v>39468000</v>
      </c>
      <c r="F172" s="247"/>
      <c r="G172" s="283" t="s">
        <v>394</v>
      </c>
      <c r="H172" s="263" t="s">
        <v>1239</v>
      </c>
      <c r="I172" s="262">
        <v>44862000</v>
      </c>
      <c r="J172" s="284">
        <v>44862000</v>
      </c>
      <c r="K172" s="247"/>
      <c r="L172" s="283"/>
      <c r="M172" s="263"/>
      <c r="N172" s="262"/>
      <c r="O172" s="284"/>
      <c r="P172" s="289"/>
      <c r="Q172" s="303"/>
      <c r="R172" s="259"/>
      <c r="S172" s="258"/>
      <c r="T172" s="304"/>
    </row>
    <row r="173" spans="2:20" ht="11.1" customHeight="1" x14ac:dyDescent="0.2">
      <c r="B173" s="281" t="s">
        <v>478</v>
      </c>
      <c r="C173" s="272" t="s">
        <v>479</v>
      </c>
      <c r="D173" s="271">
        <v>39400000</v>
      </c>
      <c r="E173" s="282">
        <v>39409999</v>
      </c>
      <c r="F173" s="247"/>
      <c r="G173" s="281" t="s">
        <v>802</v>
      </c>
      <c r="H173" s="272" t="s">
        <v>1240</v>
      </c>
      <c r="I173" s="271">
        <v>48994000</v>
      </c>
      <c r="J173" s="282">
        <v>48994000</v>
      </c>
      <c r="K173" s="247"/>
      <c r="L173" s="305"/>
      <c r="M173" s="306"/>
      <c r="N173" s="307"/>
      <c r="O173" s="308"/>
      <c r="P173" s="289"/>
      <c r="Q173" s="281"/>
      <c r="R173" s="272"/>
      <c r="S173" s="271"/>
      <c r="T173" s="282"/>
    </row>
    <row r="174" spans="2:20" ht="11.1" customHeight="1" x14ac:dyDescent="0.2">
      <c r="B174" s="283" t="s">
        <v>478</v>
      </c>
      <c r="C174" s="263" t="s">
        <v>1241</v>
      </c>
      <c r="D174" s="262">
        <v>39547000</v>
      </c>
      <c r="E174" s="284">
        <v>39547000</v>
      </c>
      <c r="F174" s="247"/>
      <c r="G174" s="283" t="s">
        <v>802</v>
      </c>
      <c r="H174" s="263" t="s">
        <v>1242</v>
      </c>
      <c r="I174" s="262">
        <v>48980000</v>
      </c>
      <c r="J174" s="284">
        <v>48980000</v>
      </c>
      <c r="K174" s="247"/>
      <c r="L174" s="283"/>
      <c r="M174" s="263"/>
      <c r="N174" s="262"/>
      <c r="O174" s="284"/>
      <c r="P174" s="289"/>
      <c r="Q174" s="303"/>
      <c r="R174" s="259"/>
      <c r="S174" s="258"/>
      <c r="T174" s="304"/>
    </row>
    <row r="175" spans="2:20" ht="11.1" customHeight="1" x14ac:dyDescent="0.2">
      <c r="B175" s="281" t="s">
        <v>478</v>
      </c>
      <c r="C175" s="272" t="s">
        <v>1243</v>
      </c>
      <c r="D175" s="271">
        <v>39313000</v>
      </c>
      <c r="E175" s="282">
        <v>39313000</v>
      </c>
      <c r="F175" s="247"/>
      <c r="G175" s="281" t="s">
        <v>796</v>
      </c>
      <c r="H175" s="272" t="s">
        <v>1244</v>
      </c>
      <c r="I175" s="271">
        <v>44950000</v>
      </c>
      <c r="J175" s="282">
        <v>44950000</v>
      </c>
      <c r="K175" s="247"/>
      <c r="L175" s="305"/>
      <c r="M175" s="306"/>
      <c r="N175" s="307"/>
      <c r="O175" s="308"/>
      <c r="P175" s="289"/>
      <c r="Q175" s="281"/>
      <c r="R175" s="272"/>
      <c r="S175" s="271"/>
      <c r="T175" s="282"/>
    </row>
    <row r="176" spans="2:20" ht="11.1" customHeight="1" x14ac:dyDescent="0.2">
      <c r="B176" s="283" t="s">
        <v>748</v>
      </c>
      <c r="C176" s="263" t="s">
        <v>1245</v>
      </c>
      <c r="D176" s="262">
        <v>39809800</v>
      </c>
      <c r="E176" s="284">
        <v>39809800</v>
      </c>
      <c r="F176" s="247"/>
      <c r="G176" s="283" t="s">
        <v>394</v>
      </c>
      <c r="H176" s="263" t="s">
        <v>1246</v>
      </c>
      <c r="I176" s="262">
        <v>46810000</v>
      </c>
      <c r="J176" s="284">
        <v>46810000</v>
      </c>
      <c r="K176" s="247"/>
      <c r="L176" s="283"/>
      <c r="M176" s="263"/>
      <c r="N176" s="262"/>
      <c r="O176" s="284"/>
      <c r="P176" s="289"/>
      <c r="Q176" s="303"/>
      <c r="R176" s="259"/>
      <c r="S176" s="258"/>
      <c r="T176" s="304"/>
    </row>
    <row r="177" spans="2:20" ht="11.1" customHeight="1" x14ac:dyDescent="0.2">
      <c r="B177" s="281" t="s">
        <v>478</v>
      </c>
      <c r="C177" s="272" t="s">
        <v>1247</v>
      </c>
      <c r="D177" s="271">
        <v>39423000</v>
      </c>
      <c r="E177" s="282">
        <v>39423000</v>
      </c>
      <c r="F177" s="247"/>
      <c r="G177" s="281" t="s">
        <v>796</v>
      </c>
      <c r="H177" s="272" t="s">
        <v>1248</v>
      </c>
      <c r="I177" s="271">
        <v>46910000</v>
      </c>
      <c r="J177" s="282">
        <v>46910000</v>
      </c>
      <c r="K177" s="247"/>
      <c r="L177" s="305"/>
      <c r="M177" s="306"/>
      <c r="N177" s="307"/>
      <c r="O177" s="308"/>
      <c r="P177" s="289"/>
      <c r="Q177" s="281"/>
      <c r="R177" s="272"/>
      <c r="S177" s="271"/>
      <c r="T177" s="282"/>
    </row>
    <row r="178" spans="2:20" ht="11.1" customHeight="1" x14ac:dyDescent="0.2">
      <c r="B178" s="283" t="s">
        <v>748</v>
      </c>
      <c r="C178" s="263" t="s">
        <v>1249</v>
      </c>
      <c r="D178" s="262">
        <v>39860000</v>
      </c>
      <c r="E178" s="284">
        <v>39860000</v>
      </c>
      <c r="F178" s="247"/>
      <c r="G178" s="283" t="s">
        <v>796</v>
      </c>
      <c r="H178" s="263" t="s">
        <v>1250</v>
      </c>
      <c r="I178" s="262">
        <v>44888000</v>
      </c>
      <c r="J178" s="284">
        <v>44888000</v>
      </c>
      <c r="K178" s="247"/>
      <c r="L178" s="283"/>
      <c r="M178" s="263"/>
      <c r="N178" s="262"/>
      <c r="O178" s="284"/>
      <c r="P178" s="289"/>
      <c r="Q178" s="303"/>
      <c r="R178" s="259"/>
      <c r="S178" s="258"/>
      <c r="T178" s="304"/>
    </row>
    <row r="179" spans="2:20" ht="11.1" customHeight="1" x14ac:dyDescent="0.2">
      <c r="B179" s="281" t="s">
        <v>800</v>
      </c>
      <c r="C179" s="272" t="s">
        <v>1251</v>
      </c>
      <c r="D179" s="271">
        <v>38658000</v>
      </c>
      <c r="E179" s="282">
        <v>38658000</v>
      </c>
      <c r="F179" s="247"/>
      <c r="G179" s="281" t="s">
        <v>802</v>
      </c>
      <c r="H179" s="272" t="s">
        <v>1252</v>
      </c>
      <c r="I179" s="271">
        <v>44690000</v>
      </c>
      <c r="J179" s="282">
        <v>44690000</v>
      </c>
      <c r="K179" s="247"/>
      <c r="L179" s="305"/>
      <c r="M179" s="306"/>
      <c r="N179" s="307"/>
      <c r="O179" s="308"/>
      <c r="P179" s="289"/>
      <c r="Q179" s="281"/>
      <c r="R179" s="272"/>
      <c r="S179" s="271"/>
      <c r="T179" s="282"/>
    </row>
    <row r="180" spans="2:20" ht="11.1" customHeight="1" x14ac:dyDescent="0.2">
      <c r="B180" s="283" t="s">
        <v>478</v>
      </c>
      <c r="C180" s="263" t="s">
        <v>1253</v>
      </c>
      <c r="D180" s="262">
        <v>39463000</v>
      </c>
      <c r="E180" s="284">
        <v>39463000</v>
      </c>
      <c r="F180" s="247"/>
      <c r="G180" s="283" t="s">
        <v>397</v>
      </c>
      <c r="H180" s="263" t="s">
        <v>1254</v>
      </c>
      <c r="I180" s="262">
        <v>47840000</v>
      </c>
      <c r="J180" s="284">
        <v>47840000</v>
      </c>
      <c r="K180" s="247"/>
      <c r="L180" s="283"/>
      <c r="M180" s="263"/>
      <c r="N180" s="262"/>
      <c r="O180" s="284"/>
      <c r="P180" s="289"/>
      <c r="Q180" s="303"/>
      <c r="R180" s="259"/>
      <c r="S180" s="258"/>
      <c r="T180" s="304"/>
    </row>
    <row r="181" spans="2:20" ht="11.1" customHeight="1" x14ac:dyDescent="0.2">
      <c r="B181" s="281" t="s">
        <v>478</v>
      </c>
      <c r="C181" s="272" t="s">
        <v>1255</v>
      </c>
      <c r="D181" s="271">
        <v>39553000</v>
      </c>
      <c r="E181" s="282">
        <v>39553000</v>
      </c>
      <c r="F181" s="247"/>
      <c r="G181" s="281" t="s">
        <v>394</v>
      </c>
      <c r="H181" s="272" t="s">
        <v>1256</v>
      </c>
      <c r="I181" s="271">
        <v>44875000</v>
      </c>
      <c r="J181" s="282">
        <v>44875000</v>
      </c>
      <c r="K181" s="247"/>
      <c r="L181" s="305"/>
      <c r="M181" s="306"/>
      <c r="N181" s="307"/>
      <c r="O181" s="308"/>
      <c r="P181" s="289"/>
      <c r="Q181" s="281"/>
      <c r="R181" s="272"/>
      <c r="S181" s="271"/>
      <c r="T181" s="282"/>
    </row>
    <row r="182" spans="2:20" ht="11.1" customHeight="1" x14ac:dyDescent="0.2">
      <c r="B182" s="283" t="s">
        <v>478</v>
      </c>
      <c r="C182" s="263" t="s">
        <v>1257</v>
      </c>
      <c r="D182" s="262">
        <v>39414000</v>
      </c>
      <c r="E182" s="284">
        <v>39414000</v>
      </c>
      <c r="F182" s="247"/>
      <c r="G182" s="283" t="s">
        <v>787</v>
      </c>
      <c r="H182" s="263" t="s">
        <v>1258</v>
      </c>
      <c r="I182" s="262">
        <v>47507000</v>
      </c>
      <c r="J182" s="284">
        <v>47507000</v>
      </c>
      <c r="K182" s="247"/>
      <c r="L182" s="283"/>
      <c r="M182" s="263"/>
      <c r="N182" s="262"/>
      <c r="O182" s="284"/>
      <c r="P182" s="289"/>
      <c r="Q182" s="303"/>
      <c r="R182" s="259"/>
      <c r="S182" s="258"/>
      <c r="T182" s="304"/>
    </row>
    <row r="183" spans="2:20" ht="11.1" customHeight="1" x14ac:dyDescent="0.2">
      <c r="B183" s="281" t="s">
        <v>478</v>
      </c>
      <c r="C183" s="272" t="s">
        <v>1259</v>
      </c>
      <c r="D183" s="271">
        <v>39335700</v>
      </c>
      <c r="E183" s="282">
        <v>39335700</v>
      </c>
      <c r="F183" s="247"/>
      <c r="G183" s="281" t="s">
        <v>394</v>
      </c>
      <c r="H183" s="272" t="s">
        <v>1260</v>
      </c>
      <c r="I183" s="271">
        <v>46970000</v>
      </c>
      <c r="J183" s="282">
        <v>46970970</v>
      </c>
      <c r="K183" s="247"/>
      <c r="L183" s="305"/>
      <c r="M183" s="306"/>
      <c r="N183" s="307"/>
      <c r="O183" s="308"/>
      <c r="P183" s="289"/>
      <c r="Q183" s="281"/>
      <c r="R183" s="272"/>
      <c r="S183" s="271"/>
      <c r="T183" s="282"/>
    </row>
    <row r="184" spans="2:20" ht="11.1" customHeight="1" x14ac:dyDescent="0.2">
      <c r="B184" s="283" t="s">
        <v>478</v>
      </c>
      <c r="C184" s="263" t="s">
        <v>1261</v>
      </c>
      <c r="D184" s="262">
        <v>39525000</v>
      </c>
      <c r="E184" s="284">
        <v>39525000</v>
      </c>
      <c r="F184" s="247"/>
      <c r="G184" s="283" t="s">
        <v>397</v>
      </c>
      <c r="H184" s="263" t="s">
        <v>1262</v>
      </c>
      <c r="I184" s="262">
        <v>47940000</v>
      </c>
      <c r="J184" s="284">
        <v>47940970</v>
      </c>
      <c r="K184" s="247"/>
      <c r="L184" s="283"/>
      <c r="M184" s="263"/>
      <c r="N184" s="262"/>
      <c r="O184" s="284"/>
      <c r="P184" s="289"/>
      <c r="Q184" s="303"/>
      <c r="R184" s="259"/>
      <c r="S184" s="258"/>
      <c r="T184" s="304"/>
    </row>
    <row r="185" spans="2:20" ht="11.1" customHeight="1" x14ac:dyDescent="0.2">
      <c r="B185" s="281" t="s">
        <v>748</v>
      </c>
      <c r="C185" s="272" t="s">
        <v>1263</v>
      </c>
      <c r="D185" s="271">
        <v>39821000</v>
      </c>
      <c r="E185" s="282">
        <v>39821000</v>
      </c>
      <c r="F185" s="247"/>
      <c r="G185" s="281" t="s">
        <v>796</v>
      </c>
      <c r="H185" s="272" t="s">
        <v>1264</v>
      </c>
      <c r="I185" s="271">
        <v>47400000</v>
      </c>
      <c r="J185" s="282">
        <v>47400970</v>
      </c>
      <c r="K185" s="247"/>
      <c r="L185" s="305"/>
      <c r="M185" s="306"/>
      <c r="N185" s="307"/>
      <c r="O185" s="308"/>
      <c r="P185" s="289"/>
      <c r="Q185" s="281"/>
      <c r="R185" s="272"/>
      <c r="S185" s="271"/>
      <c r="T185" s="282"/>
    </row>
    <row r="186" spans="2:20" ht="11.1" customHeight="1" x14ac:dyDescent="0.2">
      <c r="B186" s="283" t="s">
        <v>748</v>
      </c>
      <c r="C186" s="263" t="s">
        <v>1265</v>
      </c>
      <c r="D186" s="262">
        <v>39820000</v>
      </c>
      <c r="E186" s="284">
        <v>39820000</v>
      </c>
      <c r="F186" s="247"/>
      <c r="G186" s="303"/>
      <c r="H186" s="259"/>
      <c r="I186" s="258"/>
      <c r="J186" s="304"/>
      <c r="K186" s="247"/>
      <c r="L186" s="283"/>
      <c r="M186" s="263"/>
      <c r="N186" s="262"/>
      <c r="O186" s="284"/>
      <c r="P186" s="289"/>
      <c r="Q186" s="303"/>
      <c r="R186" s="259"/>
      <c r="S186" s="258"/>
      <c r="T186" s="304"/>
    </row>
    <row r="187" spans="2:20" ht="11.1" customHeight="1" x14ac:dyDescent="0.2">
      <c r="B187" s="281" t="s">
        <v>748</v>
      </c>
      <c r="C187" s="272" t="s">
        <v>1141</v>
      </c>
      <c r="D187" s="271">
        <v>39853000</v>
      </c>
      <c r="E187" s="282">
        <v>39853000</v>
      </c>
      <c r="F187" s="247"/>
      <c r="G187" s="281"/>
      <c r="H187" s="272"/>
      <c r="I187" s="271"/>
      <c r="J187" s="282"/>
      <c r="K187" s="247"/>
      <c r="L187" s="305"/>
      <c r="M187" s="306"/>
      <c r="N187" s="307"/>
      <c r="O187" s="308"/>
      <c r="P187" s="289"/>
      <c r="Q187" s="281"/>
      <c r="R187" s="272"/>
      <c r="S187" s="271"/>
      <c r="T187" s="282"/>
    </row>
    <row r="188" spans="2:20" ht="11.1" customHeight="1" x14ac:dyDescent="0.2">
      <c r="B188" s="283" t="s">
        <v>748</v>
      </c>
      <c r="C188" s="263" t="s">
        <v>1266</v>
      </c>
      <c r="D188" s="262">
        <v>39817000</v>
      </c>
      <c r="E188" s="284">
        <v>39817000</v>
      </c>
      <c r="F188" s="247"/>
      <c r="G188" s="303"/>
      <c r="H188" s="259"/>
      <c r="I188" s="258"/>
      <c r="J188" s="304"/>
      <c r="K188" s="247"/>
      <c r="L188" s="283"/>
      <c r="M188" s="263"/>
      <c r="N188" s="262"/>
      <c r="O188" s="284"/>
      <c r="P188" s="289"/>
      <c r="Q188" s="303"/>
      <c r="R188" s="259"/>
      <c r="S188" s="258"/>
      <c r="T188" s="304"/>
    </row>
    <row r="189" spans="2:20" ht="11.1" customHeight="1" x14ac:dyDescent="0.2">
      <c r="B189" s="281" t="s">
        <v>478</v>
      </c>
      <c r="C189" s="272" t="s">
        <v>1267</v>
      </c>
      <c r="D189" s="271">
        <v>39568000</v>
      </c>
      <c r="E189" s="282">
        <v>39568000</v>
      </c>
      <c r="F189" s="247"/>
      <c r="G189" s="281"/>
      <c r="H189" s="272"/>
      <c r="I189" s="271"/>
      <c r="J189" s="282"/>
      <c r="K189" s="247"/>
      <c r="L189" s="305"/>
      <c r="M189" s="306"/>
      <c r="N189" s="307"/>
      <c r="O189" s="308"/>
      <c r="P189" s="289"/>
      <c r="Q189" s="281"/>
      <c r="R189" s="272"/>
      <c r="S189" s="271"/>
      <c r="T189" s="282"/>
    </row>
    <row r="190" spans="2:20" ht="11.1" customHeight="1" x14ac:dyDescent="0.2">
      <c r="B190" s="283" t="s">
        <v>478</v>
      </c>
      <c r="C190" s="263" t="s">
        <v>1268</v>
      </c>
      <c r="D190" s="262">
        <v>39398000</v>
      </c>
      <c r="E190" s="284">
        <v>39398000</v>
      </c>
      <c r="F190" s="247"/>
      <c r="G190" s="303"/>
      <c r="H190" s="259"/>
      <c r="I190" s="258"/>
      <c r="J190" s="304"/>
      <c r="K190" s="247"/>
      <c r="L190" s="283"/>
      <c r="M190" s="263"/>
      <c r="N190" s="262"/>
      <c r="O190" s="284"/>
      <c r="P190" s="289"/>
      <c r="Q190" s="303"/>
      <c r="R190" s="259"/>
      <c r="S190" s="258"/>
      <c r="T190" s="304"/>
    </row>
    <row r="191" spans="2:20" ht="11.1" customHeight="1" x14ac:dyDescent="0.2">
      <c r="B191" s="281" t="s">
        <v>478</v>
      </c>
      <c r="C191" s="272" t="s">
        <v>1269</v>
      </c>
      <c r="D191" s="271">
        <v>39433000</v>
      </c>
      <c r="E191" s="282">
        <v>39433000</v>
      </c>
      <c r="F191" s="247"/>
      <c r="G191" s="281"/>
      <c r="H191" s="272"/>
      <c r="I191" s="271"/>
      <c r="J191" s="282"/>
      <c r="K191" s="247"/>
      <c r="L191" s="305"/>
      <c r="M191" s="306"/>
      <c r="N191" s="307"/>
      <c r="O191" s="308"/>
      <c r="P191" s="289"/>
      <c r="Q191" s="281"/>
      <c r="R191" s="272"/>
      <c r="S191" s="271"/>
      <c r="T191" s="282"/>
    </row>
    <row r="192" spans="2:20" ht="11.1" customHeight="1" x14ac:dyDescent="0.2">
      <c r="B192" s="283" t="s">
        <v>748</v>
      </c>
      <c r="C192" s="263" t="s">
        <v>1270</v>
      </c>
      <c r="D192" s="262">
        <v>39855000</v>
      </c>
      <c r="E192" s="284">
        <v>39855000</v>
      </c>
      <c r="F192" s="247"/>
      <c r="G192" s="303"/>
      <c r="H192" s="259"/>
      <c r="I192" s="258"/>
      <c r="J192" s="304"/>
      <c r="K192" s="247"/>
      <c r="L192" s="283"/>
      <c r="M192" s="263"/>
      <c r="N192" s="262"/>
      <c r="O192" s="284"/>
      <c r="P192" s="289"/>
      <c r="Q192" s="303"/>
      <c r="R192" s="259"/>
      <c r="S192" s="258"/>
      <c r="T192" s="304"/>
    </row>
    <row r="193" spans="2:20" ht="11.1" customHeight="1" x14ac:dyDescent="0.2">
      <c r="B193" s="281" t="s">
        <v>478</v>
      </c>
      <c r="C193" s="272" t="s">
        <v>1271</v>
      </c>
      <c r="D193" s="271">
        <v>39524500</v>
      </c>
      <c r="E193" s="282">
        <v>39524500</v>
      </c>
      <c r="F193" s="247"/>
      <c r="G193" s="281"/>
      <c r="H193" s="272"/>
      <c r="I193" s="271"/>
      <c r="J193" s="282"/>
      <c r="K193" s="247"/>
      <c r="L193" s="305"/>
      <c r="M193" s="306"/>
      <c r="N193" s="307"/>
      <c r="O193" s="308"/>
      <c r="P193" s="289"/>
      <c r="Q193" s="281"/>
      <c r="R193" s="272"/>
      <c r="S193" s="271"/>
      <c r="T193" s="282"/>
    </row>
    <row r="194" spans="2:20" ht="11.1" customHeight="1" x14ac:dyDescent="0.2">
      <c r="B194" s="283" t="s">
        <v>478</v>
      </c>
      <c r="C194" s="263" t="s">
        <v>1272</v>
      </c>
      <c r="D194" s="262">
        <v>39573000</v>
      </c>
      <c r="E194" s="284">
        <v>39573000</v>
      </c>
      <c r="F194" s="247"/>
      <c r="G194" s="303"/>
      <c r="H194" s="259"/>
      <c r="I194" s="258"/>
      <c r="J194" s="304"/>
      <c r="K194" s="247"/>
      <c r="L194" s="283"/>
      <c r="M194" s="263"/>
      <c r="N194" s="262"/>
      <c r="O194" s="284"/>
      <c r="P194" s="289"/>
      <c r="Q194" s="303"/>
      <c r="R194" s="259"/>
      <c r="S194" s="258"/>
      <c r="T194" s="304"/>
    </row>
    <row r="195" spans="2:20" ht="11.1" customHeight="1" x14ac:dyDescent="0.2">
      <c r="B195" s="281" t="s">
        <v>748</v>
      </c>
      <c r="C195" s="272" t="s">
        <v>1273</v>
      </c>
      <c r="D195" s="271">
        <v>39818000</v>
      </c>
      <c r="E195" s="282">
        <v>39818000</v>
      </c>
      <c r="F195" s="247"/>
      <c r="G195" s="281"/>
      <c r="H195" s="272"/>
      <c r="I195" s="271"/>
      <c r="J195" s="282"/>
      <c r="K195" s="247"/>
      <c r="L195" s="305"/>
      <c r="M195" s="306"/>
      <c r="N195" s="307"/>
      <c r="O195" s="308"/>
      <c r="P195" s="289"/>
      <c r="Q195" s="281"/>
      <c r="R195" s="272"/>
      <c r="S195" s="271"/>
      <c r="T195" s="282"/>
    </row>
    <row r="196" spans="2:20" ht="11.1" customHeight="1" x14ac:dyDescent="0.2">
      <c r="B196" s="283" t="s">
        <v>478</v>
      </c>
      <c r="C196" s="263" t="s">
        <v>1274</v>
      </c>
      <c r="D196" s="262">
        <v>39517000</v>
      </c>
      <c r="E196" s="284">
        <v>39517000</v>
      </c>
      <c r="F196" s="247"/>
      <c r="G196" s="303"/>
      <c r="H196" s="259"/>
      <c r="I196" s="258"/>
      <c r="J196" s="304"/>
      <c r="K196" s="247"/>
      <c r="L196" s="283"/>
      <c r="M196" s="263"/>
      <c r="N196" s="262"/>
      <c r="O196" s="284"/>
      <c r="P196" s="289"/>
      <c r="Q196" s="303"/>
      <c r="R196" s="259"/>
      <c r="S196" s="258"/>
      <c r="T196" s="304"/>
    </row>
    <row r="197" spans="2:20" ht="11.1" customHeight="1" x14ac:dyDescent="0.2">
      <c r="B197" s="281" t="s">
        <v>748</v>
      </c>
      <c r="C197" s="272" t="s">
        <v>1275</v>
      </c>
      <c r="D197" s="271">
        <v>39945000</v>
      </c>
      <c r="E197" s="282">
        <v>39945000</v>
      </c>
      <c r="F197" s="247"/>
      <c r="G197" s="281"/>
      <c r="H197" s="272"/>
      <c r="I197" s="271"/>
      <c r="J197" s="282"/>
      <c r="K197" s="247"/>
      <c r="L197" s="305"/>
      <c r="M197" s="306"/>
      <c r="N197" s="307"/>
      <c r="O197" s="308"/>
      <c r="P197" s="289"/>
      <c r="Q197" s="281"/>
      <c r="R197" s="272"/>
      <c r="S197" s="271"/>
      <c r="T197" s="282"/>
    </row>
    <row r="198" spans="2:20" ht="11.1" customHeight="1" x14ac:dyDescent="0.2">
      <c r="B198" s="283" t="s">
        <v>800</v>
      </c>
      <c r="C198" s="263" t="s">
        <v>1276</v>
      </c>
      <c r="D198" s="262">
        <v>38600000</v>
      </c>
      <c r="E198" s="284">
        <v>38600000</v>
      </c>
      <c r="F198" s="247"/>
      <c r="G198" s="303"/>
      <c r="H198" s="259"/>
      <c r="I198" s="258"/>
      <c r="J198" s="304"/>
      <c r="K198" s="247"/>
      <c r="L198" s="283"/>
      <c r="M198" s="263"/>
      <c r="N198" s="262"/>
      <c r="O198" s="284"/>
      <c r="P198" s="289"/>
      <c r="Q198" s="303"/>
      <c r="R198" s="259"/>
      <c r="S198" s="258"/>
      <c r="T198" s="304"/>
    </row>
    <row r="199" spans="2:20" ht="11.1" customHeight="1" x14ac:dyDescent="0.2">
      <c r="B199" s="281" t="s">
        <v>478</v>
      </c>
      <c r="C199" s="272" t="s">
        <v>1277</v>
      </c>
      <c r="D199" s="271">
        <v>39285000</v>
      </c>
      <c r="E199" s="282">
        <v>39285000</v>
      </c>
      <c r="F199" s="247"/>
      <c r="G199" s="281"/>
      <c r="H199" s="272"/>
      <c r="I199" s="271"/>
      <c r="J199" s="282"/>
      <c r="K199" s="247"/>
      <c r="L199" s="305"/>
      <c r="M199" s="306"/>
      <c r="N199" s="307"/>
      <c r="O199" s="308"/>
      <c r="P199" s="289"/>
      <c r="Q199" s="281"/>
      <c r="R199" s="272"/>
      <c r="S199" s="271"/>
      <c r="T199" s="282"/>
    </row>
    <row r="200" spans="2:20" ht="11.1" customHeight="1" x14ac:dyDescent="0.2">
      <c r="B200" s="283" t="s">
        <v>478</v>
      </c>
      <c r="C200" s="263" t="s">
        <v>1278</v>
      </c>
      <c r="D200" s="262">
        <v>39425000</v>
      </c>
      <c r="E200" s="284">
        <v>39425000</v>
      </c>
      <c r="F200" s="247"/>
      <c r="G200" s="303"/>
      <c r="H200" s="259"/>
      <c r="I200" s="258"/>
      <c r="J200" s="304"/>
      <c r="K200" s="247"/>
      <c r="L200" s="283"/>
      <c r="M200" s="263"/>
      <c r="N200" s="262"/>
      <c r="O200" s="284"/>
      <c r="P200" s="289"/>
      <c r="Q200" s="303"/>
      <c r="R200" s="259"/>
      <c r="S200" s="258"/>
      <c r="T200" s="304"/>
    </row>
    <row r="201" spans="2:20" ht="11.1" customHeight="1" x14ac:dyDescent="0.2">
      <c r="B201" s="281" t="s">
        <v>748</v>
      </c>
      <c r="C201" s="272" t="s">
        <v>1279</v>
      </c>
      <c r="D201" s="271">
        <v>39814000</v>
      </c>
      <c r="E201" s="282">
        <v>39814000</v>
      </c>
      <c r="F201" s="247"/>
      <c r="G201" s="281"/>
      <c r="H201" s="272"/>
      <c r="I201" s="271"/>
      <c r="J201" s="282"/>
      <c r="K201" s="247"/>
      <c r="L201" s="305"/>
      <c r="M201" s="306"/>
      <c r="N201" s="307"/>
      <c r="O201" s="308"/>
      <c r="P201" s="289"/>
      <c r="Q201" s="281"/>
      <c r="R201" s="272"/>
      <c r="S201" s="271"/>
      <c r="T201" s="282"/>
    </row>
    <row r="202" spans="2:20" ht="11.1" customHeight="1" x14ac:dyDescent="0.2">
      <c r="B202" s="283" t="s">
        <v>748</v>
      </c>
      <c r="C202" s="263" t="s">
        <v>1280</v>
      </c>
      <c r="D202" s="262">
        <v>39970000</v>
      </c>
      <c r="E202" s="284">
        <v>39970000</v>
      </c>
      <c r="F202" s="247"/>
      <c r="G202" s="303"/>
      <c r="H202" s="259"/>
      <c r="I202" s="258"/>
      <c r="J202" s="304"/>
      <c r="K202" s="247"/>
      <c r="L202" s="283"/>
      <c r="M202" s="263"/>
      <c r="N202" s="262"/>
      <c r="O202" s="284"/>
      <c r="P202" s="289"/>
      <c r="Q202" s="303"/>
      <c r="R202" s="259"/>
      <c r="S202" s="258"/>
      <c r="T202" s="304"/>
    </row>
    <row r="203" spans="2:20" ht="11.1" customHeight="1" x14ac:dyDescent="0.2">
      <c r="B203" s="281" t="s">
        <v>748</v>
      </c>
      <c r="C203" s="272" t="s">
        <v>1281</v>
      </c>
      <c r="D203" s="271">
        <v>39910000</v>
      </c>
      <c r="E203" s="282">
        <v>39910000</v>
      </c>
      <c r="F203" s="247"/>
      <c r="G203" s="281"/>
      <c r="H203" s="272"/>
      <c r="I203" s="271"/>
      <c r="J203" s="282"/>
      <c r="K203" s="247"/>
      <c r="L203" s="305"/>
      <c r="M203" s="306"/>
      <c r="N203" s="307"/>
      <c r="O203" s="308"/>
      <c r="P203" s="289"/>
      <c r="Q203" s="281"/>
      <c r="R203" s="272"/>
      <c r="S203" s="271"/>
      <c r="T203" s="282"/>
    </row>
    <row r="204" spans="2:20" ht="11.1" customHeight="1" x14ac:dyDescent="0.2">
      <c r="B204" s="283" t="s">
        <v>478</v>
      </c>
      <c r="C204" s="263" t="s">
        <v>1282</v>
      </c>
      <c r="D204" s="262">
        <v>39492000</v>
      </c>
      <c r="E204" s="284">
        <v>39492000</v>
      </c>
      <c r="F204" s="247"/>
      <c r="G204" s="303"/>
      <c r="H204" s="259"/>
      <c r="I204" s="258"/>
      <c r="J204" s="304"/>
      <c r="K204" s="247"/>
      <c r="L204" s="283"/>
      <c r="M204" s="263"/>
      <c r="N204" s="262"/>
      <c r="O204" s="284"/>
      <c r="P204" s="289"/>
      <c r="Q204" s="303"/>
      <c r="R204" s="259"/>
      <c r="S204" s="258"/>
      <c r="T204" s="304"/>
    </row>
    <row r="205" spans="2:20" ht="11.1" customHeight="1" x14ac:dyDescent="0.2">
      <c r="B205" s="281" t="s">
        <v>748</v>
      </c>
      <c r="C205" s="272" t="s">
        <v>1283</v>
      </c>
      <c r="D205" s="271">
        <v>39809300</v>
      </c>
      <c r="E205" s="282">
        <v>39809300</v>
      </c>
      <c r="F205" s="247"/>
      <c r="G205" s="281"/>
      <c r="H205" s="272"/>
      <c r="I205" s="271"/>
      <c r="J205" s="282"/>
      <c r="K205" s="247"/>
      <c r="L205" s="305"/>
      <c r="M205" s="306"/>
      <c r="N205" s="307"/>
      <c r="O205" s="308"/>
      <c r="P205" s="289"/>
      <c r="Q205" s="281"/>
      <c r="R205" s="272"/>
      <c r="S205" s="271"/>
      <c r="T205" s="282"/>
    </row>
    <row r="206" spans="2:20" ht="11.1" customHeight="1" x14ac:dyDescent="0.2">
      <c r="B206" s="281" t="s">
        <v>800</v>
      </c>
      <c r="C206" s="272" t="s">
        <v>1284</v>
      </c>
      <c r="D206" s="271">
        <v>39317000</v>
      </c>
      <c r="E206" s="282">
        <v>39317000</v>
      </c>
      <c r="F206" s="247"/>
      <c r="G206" s="303"/>
      <c r="H206" s="259"/>
      <c r="I206" s="258"/>
      <c r="J206" s="304"/>
      <c r="K206" s="247"/>
      <c r="L206" s="283"/>
      <c r="M206" s="263"/>
      <c r="N206" s="262"/>
      <c r="O206" s="284"/>
      <c r="P206" s="289"/>
      <c r="Q206" s="303"/>
      <c r="R206" s="259"/>
      <c r="S206" s="258"/>
      <c r="T206" s="304"/>
    </row>
    <row r="207" spans="2:20" ht="11.1" customHeight="1" x14ac:dyDescent="0.2">
      <c r="B207" s="283" t="s">
        <v>478</v>
      </c>
      <c r="C207" s="263" t="s">
        <v>1285</v>
      </c>
      <c r="D207" s="262">
        <v>39498000</v>
      </c>
      <c r="E207" s="284">
        <v>39498000</v>
      </c>
      <c r="F207" s="247"/>
      <c r="G207" s="281"/>
      <c r="H207" s="272"/>
      <c r="I207" s="271"/>
      <c r="J207" s="282"/>
      <c r="K207" s="247"/>
      <c r="L207" s="305"/>
      <c r="M207" s="306"/>
      <c r="N207" s="307"/>
      <c r="O207" s="308"/>
      <c r="P207" s="289"/>
      <c r="Q207" s="305"/>
      <c r="R207" s="306"/>
      <c r="S207" s="307"/>
      <c r="T207" s="308"/>
    </row>
    <row r="208" spans="2:20" ht="11.1" customHeight="1" x14ac:dyDescent="0.2">
      <c r="B208" s="281" t="s">
        <v>748</v>
      </c>
      <c r="C208" s="272" t="s">
        <v>1286</v>
      </c>
      <c r="D208" s="271">
        <v>39783000</v>
      </c>
      <c r="E208" s="282">
        <v>39783000</v>
      </c>
      <c r="F208" s="247"/>
      <c r="G208" s="303"/>
      <c r="H208" s="259"/>
      <c r="I208" s="258"/>
      <c r="J208" s="304"/>
      <c r="K208" s="247"/>
      <c r="L208" s="283"/>
      <c r="M208" s="263"/>
      <c r="N208" s="262"/>
      <c r="O208" s="284"/>
      <c r="P208" s="289"/>
      <c r="Q208" s="283"/>
      <c r="R208" s="263"/>
      <c r="S208" s="262"/>
      <c r="T208" s="284"/>
    </row>
    <row r="209" spans="2:20" ht="11.1" customHeight="1" x14ac:dyDescent="0.2">
      <c r="B209" s="283" t="s">
        <v>478</v>
      </c>
      <c r="C209" s="263" t="s">
        <v>1287</v>
      </c>
      <c r="D209" s="262">
        <v>39343000</v>
      </c>
      <c r="E209" s="284">
        <v>39343000</v>
      </c>
      <c r="F209" s="247"/>
      <c r="G209" s="281"/>
      <c r="H209" s="272"/>
      <c r="I209" s="271"/>
      <c r="J209" s="282"/>
      <c r="K209" s="247"/>
      <c r="L209" s="305"/>
      <c r="M209" s="306"/>
      <c r="N209" s="307"/>
      <c r="O209" s="308"/>
      <c r="P209" s="289"/>
      <c r="Q209" s="305"/>
      <c r="R209" s="306"/>
      <c r="S209" s="307"/>
      <c r="T209" s="308"/>
    </row>
    <row r="210" spans="2:20" ht="11.1" customHeight="1" x14ac:dyDescent="0.2">
      <c r="B210" s="281" t="s">
        <v>748</v>
      </c>
      <c r="C210" s="272" t="s">
        <v>1288</v>
      </c>
      <c r="D210" s="271">
        <v>39812000</v>
      </c>
      <c r="E210" s="282">
        <v>39812000</v>
      </c>
      <c r="F210" s="247"/>
      <c r="G210" s="303"/>
      <c r="H210" s="259"/>
      <c r="I210" s="258"/>
      <c r="J210" s="304"/>
      <c r="K210" s="247"/>
      <c r="L210" s="283"/>
      <c r="M210" s="263"/>
      <c r="N210" s="262"/>
      <c r="O210" s="284"/>
      <c r="P210" s="289"/>
      <c r="Q210" s="283"/>
      <c r="R210" s="263"/>
      <c r="S210" s="262"/>
      <c r="T210" s="284"/>
    </row>
    <row r="211" spans="2:20" ht="11.1" customHeight="1" x14ac:dyDescent="0.2">
      <c r="B211" s="283" t="s">
        <v>748</v>
      </c>
      <c r="C211" s="263" t="s">
        <v>1289</v>
      </c>
      <c r="D211" s="262">
        <v>39615000</v>
      </c>
      <c r="E211" s="284">
        <v>39615000</v>
      </c>
      <c r="F211" s="247"/>
      <c r="G211" s="281"/>
      <c r="H211" s="272"/>
      <c r="I211" s="271"/>
      <c r="J211" s="282"/>
      <c r="K211" s="247"/>
      <c r="L211" s="305"/>
      <c r="M211" s="306"/>
      <c r="N211" s="307"/>
      <c r="O211" s="308"/>
      <c r="P211" s="289"/>
      <c r="Q211" s="305"/>
      <c r="R211" s="306"/>
      <c r="S211" s="307"/>
      <c r="T211" s="308"/>
    </row>
    <row r="212" spans="2:20" ht="11.1" customHeight="1" x14ac:dyDescent="0.2">
      <c r="B212" s="281" t="s">
        <v>478</v>
      </c>
      <c r="C212" s="272" t="s">
        <v>1290</v>
      </c>
      <c r="D212" s="271">
        <v>39520000</v>
      </c>
      <c r="E212" s="282">
        <v>39520000</v>
      </c>
      <c r="F212" s="247"/>
      <c r="G212" s="303"/>
      <c r="H212" s="259"/>
      <c r="I212" s="258"/>
      <c r="J212" s="304"/>
      <c r="K212" s="247"/>
      <c r="L212" s="283"/>
      <c r="M212" s="263"/>
      <c r="N212" s="262"/>
      <c r="O212" s="284"/>
      <c r="P212" s="289"/>
      <c r="Q212" s="283"/>
      <c r="R212" s="263"/>
      <c r="S212" s="262"/>
      <c r="T212" s="284"/>
    </row>
    <row r="213" spans="2:20" ht="11.1" customHeight="1" x14ac:dyDescent="0.2">
      <c r="B213" s="283" t="s">
        <v>478</v>
      </c>
      <c r="C213" s="263" t="s">
        <v>1291</v>
      </c>
      <c r="D213" s="262">
        <v>39469000</v>
      </c>
      <c r="E213" s="284">
        <v>39469000</v>
      </c>
      <c r="F213" s="247"/>
      <c r="G213" s="281"/>
      <c r="H213" s="272"/>
      <c r="I213" s="271"/>
      <c r="J213" s="282"/>
      <c r="K213" s="247"/>
      <c r="L213" s="305"/>
      <c r="M213" s="306"/>
      <c r="N213" s="307"/>
      <c r="O213" s="308"/>
      <c r="P213" s="289"/>
      <c r="Q213" s="305"/>
      <c r="R213" s="306"/>
      <c r="S213" s="307"/>
      <c r="T213" s="308"/>
    </row>
    <row r="214" spans="2:20" ht="11.1" customHeight="1" x14ac:dyDescent="0.2">
      <c r="B214" s="281" t="s">
        <v>748</v>
      </c>
      <c r="C214" s="272" t="s">
        <v>1292</v>
      </c>
      <c r="D214" s="271">
        <v>39827000</v>
      </c>
      <c r="E214" s="282">
        <v>39827000</v>
      </c>
      <c r="F214" s="247"/>
      <c r="G214" s="303"/>
      <c r="H214" s="259"/>
      <c r="I214" s="258"/>
      <c r="J214" s="304"/>
      <c r="K214" s="247"/>
      <c r="L214" s="283"/>
      <c r="M214" s="263"/>
      <c r="N214" s="262"/>
      <c r="O214" s="284"/>
      <c r="P214" s="289"/>
      <c r="Q214" s="283"/>
      <c r="R214" s="263"/>
      <c r="S214" s="262"/>
      <c r="T214" s="284"/>
    </row>
    <row r="215" spans="2:20" ht="11.1" customHeight="1" x14ac:dyDescent="0.2">
      <c r="B215" s="283" t="s">
        <v>748</v>
      </c>
      <c r="C215" s="263" t="s">
        <v>1293</v>
      </c>
      <c r="D215" s="262">
        <v>39865000</v>
      </c>
      <c r="E215" s="284">
        <v>39865000</v>
      </c>
      <c r="F215" s="247"/>
      <c r="G215" s="281"/>
      <c r="H215" s="272"/>
      <c r="I215" s="271"/>
      <c r="J215" s="282"/>
      <c r="K215" s="247"/>
      <c r="L215" s="305"/>
      <c r="M215" s="306"/>
      <c r="N215" s="307"/>
      <c r="O215" s="308"/>
      <c r="P215" s="289"/>
      <c r="Q215" s="305"/>
      <c r="R215" s="306"/>
      <c r="S215" s="307"/>
      <c r="T215" s="308"/>
    </row>
    <row r="216" spans="2:20" ht="11.1" customHeight="1" x14ac:dyDescent="0.2">
      <c r="B216" s="281" t="s">
        <v>748</v>
      </c>
      <c r="C216" s="272" t="s">
        <v>1294</v>
      </c>
      <c r="D216" s="271">
        <v>39823000</v>
      </c>
      <c r="E216" s="282">
        <v>39823000</v>
      </c>
      <c r="F216" s="247"/>
      <c r="G216" s="303"/>
      <c r="H216" s="259"/>
      <c r="I216" s="258"/>
      <c r="J216" s="304"/>
      <c r="K216" s="247"/>
      <c r="L216" s="283"/>
      <c r="M216" s="263"/>
      <c r="N216" s="262"/>
      <c r="O216" s="284"/>
      <c r="P216" s="289"/>
      <c r="Q216" s="283"/>
      <c r="R216" s="263"/>
      <c r="S216" s="262"/>
      <c r="T216" s="284"/>
    </row>
    <row r="217" spans="2:20" ht="11.1" customHeight="1" x14ac:dyDescent="0.2">
      <c r="B217" s="283" t="s">
        <v>478</v>
      </c>
      <c r="C217" s="263" t="s">
        <v>1295</v>
      </c>
      <c r="D217" s="262">
        <v>39443000</v>
      </c>
      <c r="E217" s="284">
        <v>39443000</v>
      </c>
      <c r="F217" s="247"/>
      <c r="G217" s="281"/>
      <c r="H217" s="272"/>
      <c r="I217" s="271"/>
      <c r="J217" s="282"/>
      <c r="K217" s="247"/>
      <c r="L217" s="305"/>
      <c r="M217" s="306"/>
      <c r="N217" s="307"/>
      <c r="O217" s="308"/>
      <c r="P217" s="289"/>
      <c r="Q217" s="305"/>
      <c r="R217" s="306"/>
      <c r="S217" s="307"/>
      <c r="T217" s="308"/>
    </row>
    <row r="218" spans="2:20" ht="11.1" customHeight="1" x14ac:dyDescent="0.2">
      <c r="B218" s="281" t="s">
        <v>800</v>
      </c>
      <c r="C218" s="272" t="s">
        <v>1296</v>
      </c>
      <c r="D218" s="271">
        <v>38640000</v>
      </c>
      <c r="E218" s="282">
        <v>38640000</v>
      </c>
      <c r="F218" s="247"/>
      <c r="G218" s="303"/>
      <c r="H218" s="259"/>
      <c r="I218" s="258"/>
      <c r="J218" s="304"/>
      <c r="K218" s="247"/>
      <c r="L218" s="283"/>
      <c r="M218" s="263"/>
      <c r="N218" s="262"/>
      <c r="O218" s="284"/>
      <c r="P218" s="289"/>
      <c r="Q218" s="283"/>
      <c r="R218" s="263"/>
      <c r="S218" s="262"/>
      <c r="T218" s="284"/>
    </row>
    <row r="219" spans="2:20" ht="11.1" customHeight="1" x14ac:dyDescent="0.2">
      <c r="B219" s="283" t="s">
        <v>478</v>
      </c>
      <c r="C219" s="263" t="s">
        <v>1297</v>
      </c>
      <c r="D219" s="262">
        <v>39483000</v>
      </c>
      <c r="E219" s="284">
        <v>39483000</v>
      </c>
      <c r="F219" s="247"/>
      <c r="G219" s="281"/>
      <c r="H219" s="272"/>
      <c r="I219" s="271"/>
      <c r="J219" s="282"/>
      <c r="K219" s="247"/>
      <c r="L219" s="305"/>
      <c r="M219" s="306"/>
      <c r="N219" s="307"/>
      <c r="O219" s="308"/>
      <c r="P219" s="289"/>
      <c r="Q219" s="305"/>
      <c r="R219" s="306"/>
      <c r="S219" s="307"/>
      <c r="T219" s="308"/>
    </row>
    <row r="220" spans="2:20" ht="11.1" customHeight="1" x14ac:dyDescent="0.2">
      <c r="B220" s="281" t="s">
        <v>478</v>
      </c>
      <c r="C220" s="272" t="s">
        <v>1298</v>
      </c>
      <c r="D220" s="271">
        <v>39529000</v>
      </c>
      <c r="E220" s="282">
        <v>39529000</v>
      </c>
      <c r="F220" s="247"/>
      <c r="G220" s="303"/>
      <c r="H220" s="259"/>
      <c r="I220" s="258"/>
      <c r="J220" s="304"/>
      <c r="K220" s="247"/>
      <c r="L220" s="283"/>
      <c r="M220" s="263"/>
      <c r="N220" s="262"/>
      <c r="O220" s="284"/>
      <c r="P220" s="289"/>
      <c r="Q220" s="283"/>
      <c r="R220" s="263"/>
      <c r="S220" s="262"/>
      <c r="T220" s="284"/>
    </row>
    <row r="221" spans="2:20" ht="11.1" customHeight="1" x14ac:dyDescent="0.2">
      <c r="B221" s="283" t="s">
        <v>748</v>
      </c>
      <c r="C221" s="263" t="s">
        <v>1299</v>
      </c>
      <c r="D221" s="262">
        <v>39940000</v>
      </c>
      <c r="E221" s="284">
        <v>39940000</v>
      </c>
      <c r="F221" s="247"/>
      <c r="G221" s="281"/>
      <c r="H221" s="272"/>
      <c r="I221" s="271"/>
      <c r="J221" s="282"/>
      <c r="K221" s="247"/>
      <c r="L221" s="305"/>
      <c r="M221" s="306"/>
      <c r="N221" s="307"/>
      <c r="O221" s="308"/>
      <c r="P221" s="289"/>
      <c r="Q221" s="305"/>
      <c r="R221" s="306"/>
      <c r="S221" s="307"/>
      <c r="T221" s="308"/>
    </row>
    <row r="222" spans="2:20" ht="11.1" customHeight="1" x14ac:dyDescent="0.2">
      <c r="B222" s="281" t="s">
        <v>478</v>
      </c>
      <c r="C222" s="272" t="s">
        <v>1300</v>
      </c>
      <c r="D222" s="271">
        <v>39530000</v>
      </c>
      <c r="E222" s="282">
        <v>39530000</v>
      </c>
      <c r="F222" s="247"/>
      <c r="G222" s="303"/>
      <c r="H222" s="259"/>
      <c r="I222" s="258"/>
      <c r="J222" s="304"/>
      <c r="K222" s="247"/>
      <c r="L222" s="283"/>
      <c r="M222" s="263"/>
      <c r="N222" s="262"/>
      <c r="O222" s="284"/>
      <c r="P222" s="289"/>
      <c r="Q222" s="283"/>
      <c r="R222" s="263"/>
      <c r="S222" s="262"/>
      <c r="T222" s="284"/>
    </row>
    <row r="223" spans="2:20" ht="11.1" customHeight="1" x14ac:dyDescent="0.2">
      <c r="B223" s="283" t="s">
        <v>748</v>
      </c>
      <c r="C223" s="263" t="s">
        <v>1301</v>
      </c>
      <c r="D223" s="262">
        <v>39808000</v>
      </c>
      <c r="E223" s="284">
        <v>39808000</v>
      </c>
      <c r="F223" s="247"/>
      <c r="G223" s="281"/>
      <c r="H223" s="272"/>
      <c r="I223" s="271"/>
      <c r="J223" s="282"/>
      <c r="K223" s="247"/>
      <c r="L223" s="305"/>
      <c r="M223" s="306"/>
      <c r="N223" s="307"/>
      <c r="O223" s="308"/>
      <c r="P223" s="289"/>
      <c r="Q223" s="305"/>
      <c r="R223" s="306"/>
      <c r="S223" s="307"/>
      <c r="T223" s="308"/>
    </row>
    <row r="224" spans="2:20" ht="11.1" customHeight="1" x14ac:dyDescent="0.2">
      <c r="B224" s="281" t="s">
        <v>478</v>
      </c>
      <c r="C224" s="272" t="s">
        <v>1302</v>
      </c>
      <c r="D224" s="271">
        <v>39565000</v>
      </c>
      <c r="E224" s="282">
        <v>39565000</v>
      </c>
      <c r="F224" s="247"/>
      <c r="G224" s="303"/>
      <c r="H224" s="259"/>
      <c r="I224" s="258"/>
      <c r="J224" s="304"/>
      <c r="K224" s="247"/>
      <c r="L224" s="283"/>
      <c r="M224" s="263"/>
      <c r="N224" s="262"/>
      <c r="O224" s="284"/>
      <c r="P224" s="289"/>
      <c r="Q224" s="283"/>
      <c r="R224" s="263"/>
      <c r="S224" s="262"/>
      <c r="T224" s="284"/>
    </row>
    <row r="225" spans="2:20" ht="11.1" customHeight="1" x14ac:dyDescent="0.2">
      <c r="B225" s="283" t="s">
        <v>748</v>
      </c>
      <c r="C225" s="263" t="s">
        <v>1303</v>
      </c>
      <c r="D225" s="262">
        <v>39950000</v>
      </c>
      <c r="E225" s="284">
        <v>39950000</v>
      </c>
      <c r="F225" s="247"/>
      <c r="G225" s="281"/>
      <c r="H225" s="272"/>
      <c r="I225" s="271"/>
      <c r="J225" s="282"/>
      <c r="K225" s="247"/>
      <c r="L225" s="305"/>
      <c r="M225" s="306"/>
      <c r="N225" s="307"/>
      <c r="O225" s="308"/>
      <c r="P225" s="289"/>
      <c r="Q225" s="305"/>
      <c r="R225" s="306"/>
      <c r="S225" s="307"/>
      <c r="T225" s="308"/>
    </row>
    <row r="226" spans="2:20" ht="11.1" customHeight="1" x14ac:dyDescent="0.2">
      <c r="B226" s="281" t="s">
        <v>478</v>
      </c>
      <c r="C226" s="272" t="s">
        <v>1304</v>
      </c>
      <c r="D226" s="271">
        <v>39560000</v>
      </c>
      <c r="E226" s="282">
        <v>39560000</v>
      </c>
      <c r="F226" s="247"/>
      <c r="G226" s="303"/>
      <c r="H226" s="259"/>
      <c r="I226" s="258"/>
      <c r="J226" s="304"/>
      <c r="K226" s="247"/>
      <c r="L226" s="283"/>
      <c r="M226" s="263"/>
      <c r="N226" s="262"/>
      <c r="O226" s="284"/>
      <c r="P226" s="289"/>
      <c r="Q226" s="283"/>
      <c r="R226" s="263"/>
      <c r="S226" s="262"/>
      <c r="T226" s="284"/>
    </row>
    <row r="227" spans="2:20" ht="11.1" customHeight="1" x14ac:dyDescent="0.2">
      <c r="B227" s="283" t="s">
        <v>748</v>
      </c>
      <c r="C227" s="263" t="s">
        <v>1305</v>
      </c>
      <c r="D227" s="262">
        <v>39925000</v>
      </c>
      <c r="E227" s="284">
        <v>39925000</v>
      </c>
      <c r="F227" s="247"/>
      <c r="G227" s="281"/>
      <c r="H227" s="272"/>
      <c r="I227" s="271"/>
      <c r="J227" s="282"/>
      <c r="K227" s="247"/>
      <c r="L227" s="305"/>
      <c r="M227" s="306"/>
      <c r="N227" s="307"/>
      <c r="O227" s="308"/>
      <c r="P227" s="289"/>
      <c r="Q227" s="305"/>
      <c r="R227" s="306"/>
      <c r="S227" s="307"/>
      <c r="T227" s="308"/>
    </row>
    <row r="228" spans="2:20" ht="11.1" customHeight="1" x14ac:dyDescent="0.2">
      <c r="B228" s="281" t="s">
        <v>478</v>
      </c>
      <c r="C228" s="272" t="s">
        <v>1306</v>
      </c>
      <c r="D228" s="271">
        <v>39595000</v>
      </c>
      <c r="E228" s="282">
        <v>39595000</v>
      </c>
      <c r="F228" s="247"/>
      <c r="G228" s="303"/>
      <c r="H228" s="259"/>
      <c r="I228" s="258"/>
      <c r="J228" s="304"/>
      <c r="K228" s="247"/>
      <c r="L228" s="283"/>
      <c r="M228" s="263"/>
      <c r="N228" s="262"/>
      <c r="O228" s="284"/>
      <c r="P228" s="289"/>
      <c r="Q228" s="283"/>
      <c r="R228" s="263"/>
      <c r="S228" s="262"/>
      <c r="T228" s="284"/>
    </row>
    <row r="229" spans="2:20" ht="11.1" customHeight="1" x14ac:dyDescent="0.2">
      <c r="B229" s="283" t="s">
        <v>478</v>
      </c>
      <c r="C229" s="263" t="s">
        <v>1307</v>
      </c>
      <c r="D229" s="262">
        <v>39563000</v>
      </c>
      <c r="E229" s="284">
        <v>39563000</v>
      </c>
      <c r="F229" s="247"/>
      <c r="G229" s="281"/>
      <c r="H229" s="272"/>
      <c r="I229" s="271"/>
      <c r="J229" s="282"/>
      <c r="K229" s="247"/>
      <c r="L229" s="305"/>
      <c r="M229" s="306"/>
      <c r="N229" s="307"/>
      <c r="O229" s="308"/>
      <c r="P229" s="289"/>
      <c r="Q229" s="305"/>
      <c r="R229" s="306"/>
      <c r="S229" s="307"/>
      <c r="T229" s="308"/>
    </row>
    <row r="230" spans="2:20" ht="11.1" customHeight="1" x14ac:dyDescent="0.2">
      <c r="B230" s="281" t="s">
        <v>478</v>
      </c>
      <c r="C230" s="272" t="s">
        <v>1308</v>
      </c>
      <c r="D230" s="271">
        <v>39368000</v>
      </c>
      <c r="E230" s="282">
        <v>39368000</v>
      </c>
      <c r="F230" s="247"/>
      <c r="G230" s="303"/>
      <c r="H230" s="259"/>
      <c r="I230" s="258"/>
      <c r="J230" s="304"/>
      <c r="K230" s="247"/>
      <c r="L230" s="283"/>
      <c r="M230" s="263"/>
      <c r="N230" s="262"/>
      <c r="O230" s="284"/>
      <c r="P230" s="289"/>
      <c r="Q230" s="283"/>
      <c r="R230" s="263"/>
      <c r="S230" s="262"/>
      <c r="T230" s="284"/>
    </row>
    <row r="231" spans="2:20" ht="11.1" customHeight="1" x14ac:dyDescent="0.2">
      <c r="B231" s="283" t="s">
        <v>748</v>
      </c>
      <c r="C231" s="263" t="s">
        <v>1309</v>
      </c>
      <c r="D231" s="262">
        <v>39874000</v>
      </c>
      <c r="E231" s="284">
        <v>39874000</v>
      </c>
      <c r="F231" s="247"/>
      <c r="G231" s="281"/>
      <c r="H231" s="272"/>
      <c r="I231" s="271"/>
      <c r="J231" s="282"/>
      <c r="K231" s="247"/>
      <c r="L231" s="305"/>
      <c r="M231" s="306"/>
      <c r="N231" s="307"/>
      <c r="O231" s="308"/>
      <c r="P231" s="289"/>
      <c r="Q231" s="305"/>
      <c r="R231" s="306"/>
      <c r="S231" s="307"/>
      <c r="T231" s="308"/>
    </row>
    <row r="232" spans="2:20" ht="11.1" customHeight="1" x14ac:dyDescent="0.2">
      <c r="B232" s="281" t="s">
        <v>748</v>
      </c>
      <c r="C232" s="272" t="s">
        <v>1310</v>
      </c>
      <c r="D232" s="271">
        <v>39928000</v>
      </c>
      <c r="E232" s="282">
        <v>39928000</v>
      </c>
      <c r="F232" s="247"/>
      <c r="G232" s="303"/>
      <c r="H232" s="259"/>
      <c r="I232" s="258"/>
      <c r="J232" s="304"/>
      <c r="K232" s="247"/>
      <c r="L232" s="283"/>
      <c r="M232" s="263"/>
      <c r="N232" s="262"/>
      <c r="O232" s="284"/>
      <c r="P232" s="289"/>
      <c r="Q232" s="283"/>
      <c r="R232" s="263"/>
      <c r="S232" s="262"/>
      <c r="T232" s="284"/>
    </row>
    <row r="233" spans="2:20" ht="11.1" customHeight="1" x14ac:dyDescent="0.2">
      <c r="B233" s="283" t="s">
        <v>748</v>
      </c>
      <c r="C233" s="263" t="s">
        <v>1311</v>
      </c>
      <c r="D233" s="262">
        <v>39780000</v>
      </c>
      <c r="E233" s="284">
        <v>39780000</v>
      </c>
      <c r="F233" s="247"/>
      <c r="G233" s="281"/>
      <c r="H233" s="272"/>
      <c r="I233" s="271"/>
      <c r="J233" s="282"/>
      <c r="K233" s="247"/>
      <c r="L233" s="305"/>
      <c r="M233" s="306"/>
      <c r="N233" s="307"/>
      <c r="O233" s="308"/>
      <c r="P233" s="289"/>
      <c r="Q233" s="305"/>
      <c r="R233" s="306"/>
      <c r="S233" s="307"/>
      <c r="T233" s="308"/>
    </row>
    <row r="234" spans="2:20" ht="11.1" customHeight="1" x14ac:dyDescent="0.2">
      <c r="B234" s="281" t="s">
        <v>478</v>
      </c>
      <c r="C234" s="272" t="s">
        <v>1312</v>
      </c>
      <c r="D234" s="271">
        <v>39412000</v>
      </c>
      <c r="E234" s="282">
        <v>39412000</v>
      </c>
      <c r="F234" s="247"/>
      <c r="G234" s="303"/>
      <c r="H234" s="259"/>
      <c r="I234" s="258"/>
      <c r="J234" s="304"/>
      <c r="K234" s="247"/>
      <c r="L234" s="283"/>
      <c r="M234" s="263"/>
      <c r="N234" s="262"/>
      <c r="O234" s="284"/>
      <c r="P234" s="289"/>
      <c r="Q234" s="283"/>
      <c r="R234" s="263"/>
      <c r="S234" s="262"/>
      <c r="T234" s="284"/>
    </row>
    <row r="235" spans="2:20" ht="11.1" customHeight="1" x14ac:dyDescent="0.2">
      <c r="B235" s="283" t="s">
        <v>748</v>
      </c>
      <c r="C235" s="263" t="s">
        <v>1313</v>
      </c>
      <c r="D235" s="262">
        <v>39618000</v>
      </c>
      <c r="E235" s="284">
        <v>39618000</v>
      </c>
      <c r="F235" s="247"/>
      <c r="G235" s="281"/>
      <c r="H235" s="272"/>
      <c r="I235" s="271"/>
      <c r="J235" s="282"/>
      <c r="K235" s="247"/>
      <c r="L235" s="305"/>
      <c r="M235" s="306"/>
      <c r="N235" s="307"/>
      <c r="O235" s="308"/>
      <c r="P235" s="289"/>
      <c r="Q235" s="305"/>
      <c r="R235" s="306"/>
      <c r="S235" s="307"/>
      <c r="T235" s="308"/>
    </row>
    <row r="236" spans="2:20" ht="11.1" customHeight="1" x14ac:dyDescent="0.2">
      <c r="B236" s="281" t="s">
        <v>478</v>
      </c>
      <c r="C236" s="272" t="s">
        <v>1314</v>
      </c>
      <c r="D236" s="271">
        <v>39434000</v>
      </c>
      <c r="E236" s="282">
        <v>39434000</v>
      </c>
      <c r="F236" s="247"/>
      <c r="G236" s="303"/>
      <c r="H236" s="259"/>
      <c r="I236" s="258"/>
      <c r="J236" s="304"/>
      <c r="K236" s="247"/>
      <c r="L236" s="283"/>
      <c r="M236" s="263"/>
      <c r="N236" s="262"/>
      <c r="O236" s="284"/>
      <c r="P236" s="289"/>
      <c r="Q236" s="283"/>
      <c r="R236" s="263"/>
      <c r="S236" s="262"/>
      <c r="T236" s="284"/>
    </row>
    <row r="237" spans="2:20" ht="11.1" customHeight="1" x14ac:dyDescent="0.2">
      <c r="B237" s="283" t="s">
        <v>748</v>
      </c>
      <c r="C237" s="263" t="s">
        <v>1315</v>
      </c>
      <c r="D237" s="262">
        <v>39935000</v>
      </c>
      <c r="E237" s="284">
        <v>39935000</v>
      </c>
      <c r="F237" s="247"/>
      <c r="G237" s="281"/>
      <c r="H237" s="272"/>
      <c r="I237" s="271"/>
      <c r="J237" s="282"/>
      <c r="K237" s="247"/>
      <c r="L237" s="305"/>
      <c r="M237" s="306"/>
      <c r="N237" s="307"/>
      <c r="O237" s="308"/>
      <c r="P237" s="289"/>
      <c r="Q237" s="305"/>
      <c r="R237" s="306"/>
      <c r="S237" s="307"/>
      <c r="T237" s="308"/>
    </row>
    <row r="238" spans="2:20" ht="11.1" customHeight="1" x14ac:dyDescent="0.2">
      <c r="B238" s="281" t="s">
        <v>748</v>
      </c>
      <c r="C238" s="272" t="s">
        <v>1316</v>
      </c>
      <c r="D238" s="271">
        <v>39691000</v>
      </c>
      <c r="E238" s="282">
        <v>39691000</v>
      </c>
      <c r="F238" s="247"/>
      <c r="G238" s="303"/>
      <c r="H238" s="259"/>
      <c r="I238" s="258"/>
      <c r="J238" s="304"/>
      <c r="K238" s="247"/>
      <c r="L238" s="283"/>
      <c r="M238" s="263"/>
      <c r="N238" s="262"/>
      <c r="O238" s="284"/>
      <c r="P238" s="289"/>
      <c r="Q238" s="283"/>
      <c r="R238" s="263"/>
      <c r="S238" s="262"/>
      <c r="T238" s="284"/>
    </row>
    <row r="239" spans="2:20" ht="11.1" customHeight="1" x14ac:dyDescent="0.2">
      <c r="B239" s="283" t="s">
        <v>478</v>
      </c>
      <c r="C239" s="263" t="s">
        <v>1317</v>
      </c>
      <c r="D239" s="262">
        <v>39538000</v>
      </c>
      <c r="E239" s="284">
        <v>39538000</v>
      </c>
      <c r="F239" s="247"/>
      <c r="G239" s="281"/>
      <c r="H239" s="272"/>
      <c r="I239" s="271"/>
      <c r="J239" s="282"/>
      <c r="K239" s="247"/>
      <c r="L239" s="305"/>
      <c r="M239" s="306"/>
      <c r="N239" s="307"/>
      <c r="O239" s="308"/>
      <c r="P239" s="289"/>
      <c r="Q239" s="305"/>
      <c r="R239" s="306"/>
      <c r="S239" s="307"/>
      <c r="T239" s="308"/>
    </row>
    <row r="240" spans="2:20" ht="11.1" customHeight="1" x14ac:dyDescent="0.2">
      <c r="B240" s="281" t="s">
        <v>748</v>
      </c>
      <c r="C240" s="272" t="s">
        <v>1318</v>
      </c>
      <c r="D240" s="271">
        <v>39796000</v>
      </c>
      <c r="E240" s="282">
        <v>39796000</v>
      </c>
      <c r="F240" s="247"/>
      <c r="G240" s="303"/>
      <c r="H240" s="259"/>
      <c r="I240" s="258"/>
      <c r="J240" s="304"/>
      <c r="K240" s="247"/>
      <c r="L240" s="283"/>
      <c r="M240" s="263"/>
      <c r="N240" s="262"/>
      <c r="O240" s="284"/>
      <c r="P240" s="289"/>
      <c r="Q240" s="283"/>
      <c r="R240" s="263"/>
      <c r="S240" s="262"/>
      <c r="T240" s="284"/>
    </row>
    <row r="241" spans="2:20" ht="11.1" customHeight="1" x14ac:dyDescent="0.2">
      <c r="B241" s="283" t="s">
        <v>478</v>
      </c>
      <c r="C241" s="263" t="s">
        <v>1319</v>
      </c>
      <c r="D241" s="262">
        <v>39300000</v>
      </c>
      <c r="E241" s="284">
        <v>39300000</v>
      </c>
      <c r="F241" s="247"/>
      <c r="G241" s="281"/>
      <c r="H241" s="272"/>
      <c r="I241" s="271"/>
      <c r="J241" s="282"/>
      <c r="K241" s="247"/>
      <c r="L241" s="305"/>
      <c r="M241" s="306"/>
      <c r="N241" s="307"/>
      <c r="O241" s="308"/>
      <c r="P241" s="289"/>
      <c r="Q241" s="305"/>
      <c r="R241" s="306"/>
      <c r="S241" s="307"/>
      <c r="T241" s="308"/>
    </row>
    <row r="242" spans="2:20" ht="11.1" customHeight="1" x14ac:dyDescent="0.2">
      <c r="B242" s="281" t="s">
        <v>478</v>
      </c>
      <c r="C242" s="272" t="s">
        <v>1320</v>
      </c>
      <c r="D242" s="271">
        <v>39342000</v>
      </c>
      <c r="E242" s="282">
        <v>39342000</v>
      </c>
      <c r="F242" s="247"/>
      <c r="G242" s="303"/>
      <c r="H242" s="259"/>
      <c r="I242" s="258"/>
      <c r="J242" s="304"/>
      <c r="K242" s="247"/>
      <c r="L242" s="283"/>
      <c r="M242" s="263"/>
      <c r="N242" s="262"/>
      <c r="O242" s="284"/>
      <c r="P242" s="289"/>
      <c r="Q242" s="283"/>
      <c r="R242" s="263"/>
      <c r="S242" s="262"/>
      <c r="T242" s="284"/>
    </row>
    <row r="243" spans="2:20" ht="11.1" customHeight="1" x14ac:dyDescent="0.2">
      <c r="B243" s="283" t="s">
        <v>478</v>
      </c>
      <c r="C243" s="263" t="s">
        <v>1321</v>
      </c>
      <c r="D243" s="262">
        <v>39355000</v>
      </c>
      <c r="E243" s="284">
        <v>39355000</v>
      </c>
      <c r="F243" s="247"/>
      <c r="G243" s="281"/>
      <c r="H243" s="272"/>
      <c r="I243" s="271"/>
      <c r="J243" s="282"/>
      <c r="K243" s="247"/>
      <c r="L243" s="305"/>
      <c r="M243" s="306"/>
      <c r="N243" s="307"/>
      <c r="O243" s="308"/>
      <c r="P243" s="289"/>
      <c r="Q243" s="305"/>
      <c r="R243" s="306"/>
      <c r="S243" s="307"/>
      <c r="T243" s="308"/>
    </row>
    <row r="244" spans="2:20" ht="11.1" customHeight="1" x14ac:dyDescent="0.2">
      <c r="B244" s="281" t="s">
        <v>478</v>
      </c>
      <c r="C244" s="272" t="s">
        <v>1322</v>
      </c>
      <c r="D244" s="271">
        <v>39430000</v>
      </c>
      <c r="E244" s="282">
        <v>39430000</v>
      </c>
      <c r="F244" s="247"/>
      <c r="G244" s="303"/>
      <c r="H244" s="259"/>
      <c r="I244" s="258"/>
      <c r="J244" s="304"/>
      <c r="K244" s="247"/>
      <c r="L244" s="283"/>
      <c r="M244" s="263"/>
      <c r="N244" s="262"/>
      <c r="O244" s="284"/>
      <c r="P244" s="289"/>
      <c r="Q244" s="283"/>
      <c r="R244" s="263"/>
      <c r="S244" s="262"/>
      <c r="T244" s="284"/>
    </row>
    <row r="245" spans="2:20" ht="11.1" customHeight="1" x14ac:dyDescent="0.2">
      <c r="B245" s="283" t="s">
        <v>478</v>
      </c>
      <c r="C245" s="263" t="s">
        <v>1323</v>
      </c>
      <c r="D245" s="262">
        <v>39413000</v>
      </c>
      <c r="E245" s="284">
        <v>39413000</v>
      </c>
      <c r="F245" s="247"/>
      <c r="G245" s="281"/>
      <c r="H245" s="272"/>
      <c r="I245" s="271"/>
      <c r="J245" s="282"/>
      <c r="K245" s="247"/>
      <c r="L245" s="305"/>
      <c r="M245" s="306"/>
      <c r="N245" s="307"/>
      <c r="O245" s="308"/>
      <c r="P245" s="289"/>
      <c r="Q245" s="305"/>
      <c r="R245" s="306"/>
      <c r="S245" s="307"/>
      <c r="T245" s="308"/>
    </row>
    <row r="246" spans="2:20" ht="11.1" customHeight="1" x14ac:dyDescent="0.2">
      <c r="B246" s="281" t="s">
        <v>478</v>
      </c>
      <c r="C246" s="272" t="s">
        <v>1324</v>
      </c>
      <c r="D246" s="271">
        <v>39475000</v>
      </c>
      <c r="E246" s="282">
        <v>39475000</v>
      </c>
      <c r="F246" s="247"/>
      <c r="G246" s="303"/>
      <c r="H246" s="259"/>
      <c r="I246" s="258"/>
      <c r="J246" s="304"/>
      <c r="K246" s="247"/>
      <c r="L246" s="283"/>
      <c r="M246" s="263"/>
      <c r="N246" s="262"/>
      <c r="O246" s="284"/>
      <c r="P246" s="289"/>
      <c r="Q246" s="283"/>
      <c r="R246" s="263"/>
      <c r="S246" s="262"/>
      <c r="T246" s="284"/>
    </row>
    <row r="247" spans="2:20" ht="11.1" customHeight="1" x14ac:dyDescent="0.2">
      <c r="B247" s="283" t="s">
        <v>478</v>
      </c>
      <c r="C247" s="263" t="s">
        <v>1325</v>
      </c>
      <c r="D247" s="262">
        <v>39528000</v>
      </c>
      <c r="E247" s="284">
        <v>39528000</v>
      </c>
      <c r="F247" s="247"/>
      <c r="G247" s="281"/>
      <c r="H247" s="272"/>
      <c r="I247" s="271"/>
      <c r="J247" s="282"/>
      <c r="K247" s="247"/>
      <c r="L247" s="305"/>
      <c r="M247" s="306"/>
      <c r="N247" s="307"/>
      <c r="O247" s="308"/>
      <c r="P247" s="289"/>
      <c r="Q247" s="305"/>
      <c r="R247" s="306"/>
      <c r="S247" s="307"/>
      <c r="T247" s="308"/>
    </row>
    <row r="248" spans="2:20" ht="11.1" customHeight="1" x14ac:dyDescent="0.2">
      <c r="B248" s="281" t="s">
        <v>478</v>
      </c>
      <c r="C248" s="272" t="s">
        <v>1326</v>
      </c>
      <c r="D248" s="271">
        <v>39365000</v>
      </c>
      <c r="E248" s="282">
        <v>39365000</v>
      </c>
      <c r="F248" s="247"/>
      <c r="G248" s="303"/>
      <c r="H248" s="259"/>
      <c r="I248" s="258"/>
      <c r="J248" s="304"/>
      <c r="K248" s="247"/>
      <c r="L248" s="283"/>
      <c r="M248" s="263"/>
      <c r="N248" s="262"/>
      <c r="O248" s="284"/>
      <c r="P248" s="289"/>
      <c r="Q248" s="283"/>
      <c r="R248" s="263"/>
      <c r="S248" s="262"/>
      <c r="T248" s="284"/>
    </row>
    <row r="249" spans="2:20" ht="11.1" customHeight="1" x14ac:dyDescent="0.2">
      <c r="B249" s="283" t="s">
        <v>478</v>
      </c>
      <c r="C249" s="263" t="s">
        <v>1327</v>
      </c>
      <c r="D249" s="262">
        <v>39540000</v>
      </c>
      <c r="E249" s="284">
        <v>39540000</v>
      </c>
      <c r="F249" s="247"/>
      <c r="G249" s="281"/>
      <c r="H249" s="272"/>
      <c r="I249" s="271"/>
      <c r="J249" s="282"/>
      <c r="K249" s="247"/>
      <c r="L249" s="305"/>
      <c r="M249" s="306"/>
      <c r="N249" s="307"/>
      <c r="O249" s="308"/>
      <c r="P249" s="289"/>
      <c r="Q249" s="305"/>
      <c r="R249" s="306"/>
      <c r="S249" s="307"/>
      <c r="T249" s="308"/>
    </row>
    <row r="250" spans="2:20" ht="11.1" customHeight="1" x14ac:dyDescent="0.2">
      <c r="B250" s="283" t="s">
        <v>478</v>
      </c>
      <c r="C250" s="263" t="s">
        <v>1328</v>
      </c>
      <c r="D250" s="262">
        <v>39348000</v>
      </c>
      <c r="E250" s="284">
        <v>39348000</v>
      </c>
      <c r="F250" s="247"/>
      <c r="G250" s="303"/>
      <c r="H250" s="259"/>
      <c r="I250" s="258"/>
      <c r="J250" s="304"/>
      <c r="K250" s="247"/>
      <c r="L250" s="283"/>
      <c r="M250" s="263"/>
      <c r="N250" s="262"/>
      <c r="O250" s="284"/>
      <c r="P250" s="289"/>
      <c r="Q250" s="283"/>
      <c r="R250" s="263"/>
      <c r="S250" s="262"/>
      <c r="T250" s="284"/>
    </row>
    <row r="251" spans="2:20" ht="11.1" customHeight="1" x14ac:dyDescent="0.2">
      <c r="B251" s="281" t="s">
        <v>478</v>
      </c>
      <c r="C251" s="272" t="s">
        <v>1329</v>
      </c>
      <c r="D251" s="271">
        <v>39411000</v>
      </c>
      <c r="E251" s="282">
        <v>39411000</v>
      </c>
      <c r="F251" s="247"/>
      <c r="G251" s="281"/>
      <c r="H251" s="272"/>
      <c r="I251" s="271"/>
      <c r="J251" s="282"/>
      <c r="K251" s="247"/>
      <c r="L251" s="305"/>
      <c r="M251" s="306"/>
      <c r="N251" s="307"/>
      <c r="O251" s="308"/>
      <c r="P251" s="289"/>
      <c r="Q251" s="305"/>
      <c r="R251" s="306"/>
      <c r="S251" s="307"/>
      <c r="T251" s="308"/>
    </row>
    <row r="252" spans="2:20" ht="11.1" customHeight="1" x14ac:dyDescent="0.2">
      <c r="B252" s="283" t="s">
        <v>478</v>
      </c>
      <c r="C252" s="263" t="s">
        <v>1330</v>
      </c>
      <c r="D252" s="262">
        <v>39494000</v>
      </c>
      <c r="E252" s="284">
        <v>39494000</v>
      </c>
      <c r="F252" s="247"/>
      <c r="G252" s="303"/>
      <c r="H252" s="259"/>
      <c r="I252" s="258"/>
      <c r="J252" s="304"/>
      <c r="K252" s="247"/>
      <c r="L252" s="283"/>
      <c r="M252" s="263"/>
      <c r="N252" s="262"/>
      <c r="O252" s="284"/>
      <c r="P252" s="289"/>
      <c r="Q252" s="283"/>
      <c r="R252" s="263"/>
      <c r="S252" s="262"/>
      <c r="T252" s="284"/>
    </row>
    <row r="253" spans="2:20" ht="11.1" customHeight="1" x14ac:dyDescent="0.2">
      <c r="B253" s="281" t="s">
        <v>748</v>
      </c>
      <c r="C253" s="272" t="s">
        <v>1331</v>
      </c>
      <c r="D253" s="271">
        <v>39961000</v>
      </c>
      <c r="E253" s="282">
        <v>39961000</v>
      </c>
      <c r="F253" s="247"/>
      <c r="G253" s="281"/>
      <c r="H253" s="272"/>
      <c r="I253" s="271"/>
      <c r="J253" s="282"/>
      <c r="K253" s="247"/>
      <c r="L253" s="305"/>
      <c r="M253" s="306"/>
      <c r="N253" s="307"/>
      <c r="O253" s="308"/>
      <c r="P253" s="289"/>
      <c r="Q253" s="305"/>
      <c r="R253" s="306"/>
      <c r="S253" s="307"/>
      <c r="T253" s="308"/>
    </row>
    <row r="254" spans="2:20" ht="11.1" customHeight="1" x14ac:dyDescent="0.2">
      <c r="B254" s="283" t="s">
        <v>478</v>
      </c>
      <c r="C254" s="263" t="s">
        <v>1332</v>
      </c>
      <c r="D254" s="262">
        <v>39358000</v>
      </c>
      <c r="E254" s="284">
        <v>39358000</v>
      </c>
      <c r="F254" s="247"/>
      <c r="G254" s="303"/>
      <c r="H254" s="259"/>
      <c r="I254" s="258"/>
      <c r="J254" s="304"/>
      <c r="K254" s="247"/>
      <c r="L254" s="283"/>
      <c r="M254" s="263"/>
      <c r="N254" s="262"/>
      <c r="O254" s="284"/>
      <c r="P254" s="289"/>
      <c r="Q254" s="283"/>
      <c r="R254" s="263"/>
      <c r="S254" s="262"/>
      <c r="T254" s="284"/>
    </row>
    <row r="255" spans="2:20" ht="11.1" customHeight="1" x14ac:dyDescent="0.2">
      <c r="B255" s="281" t="s">
        <v>478</v>
      </c>
      <c r="C255" s="272" t="s">
        <v>1333</v>
      </c>
      <c r="D255" s="271">
        <v>39290000</v>
      </c>
      <c r="E255" s="282">
        <v>39290000</v>
      </c>
      <c r="F255" s="247"/>
      <c r="G255" s="281"/>
      <c r="H255" s="272"/>
      <c r="I255" s="271"/>
      <c r="J255" s="282"/>
      <c r="K255" s="247"/>
      <c r="L255" s="305"/>
      <c r="M255" s="306"/>
      <c r="N255" s="307"/>
      <c r="O255" s="308"/>
      <c r="P255" s="289"/>
      <c r="Q255" s="305"/>
      <c r="R255" s="306"/>
      <c r="S255" s="307"/>
      <c r="T255" s="308"/>
    </row>
    <row r="256" spans="2:20" ht="11.1" customHeight="1" x14ac:dyDescent="0.2">
      <c r="B256" s="283" t="s">
        <v>748</v>
      </c>
      <c r="C256" s="263" t="s">
        <v>1334</v>
      </c>
      <c r="D256" s="262">
        <v>39795000</v>
      </c>
      <c r="E256" s="284">
        <v>39795000</v>
      </c>
      <c r="F256" s="247"/>
      <c r="G256" s="303"/>
      <c r="H256" s="259"/>
      <c r="I256" s="258"/>
      <c r="J256" s="304"/>
      <c r="K256" s="247"/>
      <c r="L256" s="283"/>
      <c r="M256" s="263"/>
      <c r="N256" s="262"/>
      <c r="O256" s="284"/>
      <c r="P256" s="289"/>
      <c r="Q256" s="283"/>
      <c r="R256" s="263"/>
      <c r="S256" s="262"/>
      <c r="T256" s="284"/>
    </row>
    <row r="257" spans="2:20" ht="11.1" customHeight="1" x14ac:dyDescent="0.2">
      <c r="B257" s="281" t="s">
        <v>478</v>
      </c>
      <c r="C257" s="272" t="s">
        <v>1335</v>
      </c>
      <c r="D257" s="271">
        <v>39497000</v>
      </c>
      <c r="E257" s="282">
        <v>39497000</v>
      </c>
      <c r="F257" s="247"/>
      <c r="G257" s="281"/>
      <c r="H257" s="272"/>
      <c r="I257" s="271"/>
      <c r="J257" s="282"/>
      <c r="K257" s="247"/>
      <c r="L257" s="305"/>
      <c r="M257" s="306"/>
      <c r="N257" s="307"/>
      <c r="O257" s="308"/>
      <c r="P257" s="289"/>
      <c r="Q257" s="305"/>
      <c r="R257" s="306"/>
      <c r="S257" s="307"/>
      <c r="T257" s="308"/>
    </row>
    <row r="258" spans="2:20" ht="11.1" customHeight="1" x14ac:dyDescent="0.2">
      <c r="B258" s="283" t="s">
        <v>478</v>
      </c>
      <c r="C258" s="263" t="s">
        <v>1336</v>
      </c>
      <c r="D258" s="262">
        <v>39310000</v>
      </c>
      <c r="E258" s="284">
        <v>39310000</v>
      </c>
      <c r="F258" s="247"/>
      <c r="G258" s="303"/>
      <c r="H258" s="259"/>
      <c r="I258" s="258"/>
      <c r="J258" s="304"/>
      <c r="K258" s="247"/>
      <c r="L258" s="283"/>
      <c r="M258" s="263"/>
      <c r="N258" s="262"/>
      <c r="O258" s="284"/>
      <c r="P258" s="289"/>
      <c r="Q258" s="283"/>
      <c r="R258" s="263"/>
      <c r="S258" s="262"/>
      <c r="T258" s="284"/>
    </row>
    <row r="259" spans="2:20" ht="11.1" customHeight="1" x14ac:dyDescent="0.2">
      <c r="B259" s="281" t="s">
        <v>748</v>
      </c>
      <c r="C259" s="272" t="s">
        <v>1337</v>
      </c>
      <c r="D259" s="271">
        <v>39868000</v>
      </c>
      <c r="E259" s="282">
        <v>39868000</v>
      </c>
      <c r="F259" s="247"/>
      <c r="G259" s="281"/>
      <c r="H259" s="272"/>
      <c r="I259" s="271"/>
      <c r="J259" s="282"/>
      <c r="K259" s="247"/>
      <c r="L259" s="305"/>
      <c r="M259" s="306"/>
      <c r="N259" s="307"/>
      <c r="O259" s="308"/>
      <c r="P259" s="289"/>
      <c r="Q259" s="305"/>
      <c r="R259" s="306"/>
      <c r="S259" s="307"/>
      <c r="T259" s="308"/>
    </row>
    <row r="260" spans="2:20" ht="11.1" customHeight="1" x14ac:dyDescent="0.2">
      <c r="B260" s="283" t="s">
        <v>478</v>
      </c>
      <c r="C260" s="263" t="s">
        <v>1338</v>
      </c>
      <c r="D260" s="262">
        <v>39532000</v>
      </c>
      <c r="E260" s="284">
        <v>39532000</v>
      </c>
      <c r="F260" s="247"/>
      <c r="G260" s="303"/>
      <c r="H260" s="259"/>
      <c r="I260" s="258"/>
      <c r="J260" s="304"/>
      <c r="K260" s="247"/>
      <c r="L260" s="283"/>
      <c r="M260" s="263"/>
      <c r="N260" s="262"/>
      <c r="O260" s="284"/>
      <c r="P260" s="289"/>
      <c r="Q260" s="283"/>
      <c r="R260" s="263"/>
      <c r="S260" s="262"/>
      <c r="T260" s="284"/>
    </row>
    <row r="261" spans="2:20" ht="11.1" customHeight="1" x14ac:dyDescent="0.2">
      <c r="B261" s="281" t="s">
        <v>478</v>
      </c>
      <c r="C261" s="272" t="s">
        <v>1339</v>
      </c>
      <c r="D261" s="271">
        <v>39518000</v>
      </c>
      <c r="E261" s="282">
        <v>39518000</v>
      </c>
      <c r="F261" s="247"/>
      <c r="G261" s="281"/>
      <c r="H261" s="272"/>
      <c r="I261" s="271"/>
      <c r="J261" s="282"/>
      <c r="K261" s="247"/>
      <c r="L261" s="305"/>
      <c r="M261" s="306"/>
      <c r="N261" s="307"/>
      <c r="O261" s="308"/>
      <c r="P261" s="289"/>
      <c r="Q261" s="305"/>
      <c r="R261" s="306"/>
      <c r="S261" s="307"/>
      <c r="T261" s="308"/>
    </row>
    <row r="262" spans="2:20" ht="11.1" customHeight="1" x14ac:dyDescent="0.2">
      <c r="B262" s="283" t="s">
        <v>748</v>
      </c>
      <c r="C262" s="263" t="s">
        <v>1340</v>
      </c>
      <c r="D262" s="262">
        <v>39688000</v>
      </c>
      <c r="E262" s="284">
        <v>39688000</v>
      </c>
      <c r="F262" s="247"/>
      <c r="G262" s="303"/>
      <c r="H262" s="259"/>
      <c r="I262" s="258"/>
      <c r="J262" s="304"/>
      <c r="K262" s="247"/>
      <c r="L262" s="283"/>
      <c r="M262" s="263"/>
      <c r="N262" s="262"/>
      <c r="O262" s="284"/>
      <c r="P262" s="289"/>
      <c r="Q262" s="283"/>
      <c r="R262" s="263"/>
      <c r="S262" s="262"/>
      <c r="T262" s="284"/>
    </row>
    <row r="263" spans="2:20" ht="11.1" customHeight="1" x14ac:dyDescent="0.2">
      <c r="B263" s="281" t="s">
        <v>478</v>
      </c>
      <c r="C263" s="272" t="s">
        <v>1341</v>
      </c>
      <c r="D263" s="271">
        <v>39432000</v>
      </c>
      <c r="E263" s="282">
        <v>39432000</v>
      </c>
      <c r="F263" s="247"/>
      <c r="G263" s="281"/>
      <c r="H263" s="272"/>
      <c r="I263" s="271"/>
      <c r="J263" s="282"/>
      <c r="K263" s="247"/>
      <c r="L263" s="305"/>
      <c r="M263" s="306"/>
      <c r="N263" s="307"/>
      <c r="O263" s="308"/>
      <c r="P263" s="289"/>
      <c r="Q263" s="305"/>
      <c r="R263" s="306"/>
      <c r="S263" s="307"/>
      <c r="T263" s="308"/>
    </row>
    <row r="264" spans="2:20" ht="11.1" customHeight="1" x14ac:dyDescent="0.2">
      <c r="B264" s="283" t="s">
        <v>748</v>
      </c>
      <c r="C264" s="263" t="s">
        <v>1342</v>
      </c>
      <c r="D264" s="262">
        <v>39828000</v>
      </c>
      <c r="E264" s="284">
        <v>39828000</v>
      </c>
      <c r="F264" s="247"/>
      <c r="G264" s="303"/>
      <c r="H264" s="259"/>
      <c r="I264" s="258"/>
      <c r="J264" s="304"/>
      <c r="K264" s="247"/>
      <c r="L264" s="283"/>
      <c r="M264" s="263"/>
      <c r="N264" s="262"/>
      <c r="O264" s="284"/>
      <c r="P264" s="289"/>
      <c r="Q264" s="283"/>
      <c r="R264" s="263"/>
      <c r="S264" s="262"/>
      <c r="T264" s="284"/>
    </row>
    <row r="265" spans="2:20" ht="11.1" customHeight="1" x14ac:dyDescent="0.2">
      <c r="B265" s="281" t="s">
        <v>478</v>
      </c>
      <c r="C265" s="272" t="s">
        <v>1343</v>
      </c>
      <c r="D265" s="271">
        <v>39550000</v>
      </c>
      <c r="E265" s="282">
        <v>39550000</v>
      </c>
      <c r="F265" s="247"/>
      <c r="G265" s="281"/>
      <c r="H265" s="272"/>
      <c r="I265" s="271"/>
      <c r="J265" s="282"/>
      <c r="K265" s="247"/>
      <c r="L265" s="305"/>
      <c r="M265" s="306"/>
      <c r="N265" s="307"/>
      <c r="O265" s="308"/>
      <c r="P265" s="289"/>
      <c r="Q265" s="305"/>
      <c r="R265" s="306"/>
      <c r="S265" s="307"/>
      <c r="T265" s="308"/>
    </row>
    <row r="266" spans="2:20" ht="11.1" customHeight="1" x14ac:dyDescent="0.2">
      <c r="B266" s="283" t="s">
        <v>478</v>
      </c>
      <c r="C266" s="263" t="s">
        <v>1344</v>
      </c>
      <c r="D266" s="262">
        <v>39484000</v>
      </c>
      <c r="E266" s="284">
        <v>39484000</v>
      </c>
      <c r="F266" s="247"/>
      <c r="G266" s="303"/>
      <c r="H266" s="259"/>
      <c r="I266" s="258"/>
      <c r="J266" s="304"/>
      <c r="K266" s="247"/>
      <c r="L266" s="283"/>
      <c r="M266" s="263"/>
      <c r="N266" s="262"/>
      <c r="O266" s="284"/>
      <c r="P266" s="289"/>
      <c r="Q266" s="283"/>
      <c r="R266" s="263"/>
      <c r="S266" s="262"/>
      <c r="T266" s="284"/>
    </row>
    <row r="267" spans="2:20" ht="11.1" customHeight="1" x14ac:dyDescent="0.2">
      <c r="B267" s="281" t="s">
        <v>748</v>
      </c>
      <c r="C267" s="272" t="s">
        <v>1345</v>
      </c>
      <c r="D267" s="271">
        <v>39800000</v>
      </c>
      <c r="E267" s="282">
        <v>39805999</v>
      </c>
      <c r="F267" s="247"/>
      <c r="G267" s="281"/>
      <c r="H267" s="272"/>
      <c r="I267" s="271"/>
      <c r="J267" s="282"/>
      <c r="K267" s="247"/>
      <c r="L267" s="305"/>
      <c r="M267" s="306"/>
      <c r="N267" s="307"/>
      <c r="O267" s="308"/>
      <c r="P267" s="289"/>
      <c r="Q267" s="305"/>
      <c r="R267" s="306"/>
      <c r="S267" s="307"/>
      <c r="T267" s="308"/>
    </row>
    <row r="268" spans="2:20" ht="11.1" customHeight="1" x14ac:dyDescent="0.2">
      <c r="B268" s="283" t="s">
        <v>478</v>
      </c>
      <c r="C268" s="263" t="s">
        <v>1346</v>
      </c>
      <c r="D268" s="262">
        <v>39393000</v>
      </c>
      <c r="E268" s="284">
        <v>39393000</v>
      </c>
      <c r="F268" s="247"/>
      <c r="G268" s="303"/>
      <c r="H268" s="259"/>
      <c r="I268" s="258"/>
      <c r="J268" s="304"/>
      <c r="K268" s="247"/>
      <c r="L268" s="283"/>
      <c r="M268" s="263"/>
      <c r="N268" s="262"/>
      <c r="O268" s="284"/>
      <c r="P268" s="289"/>
      <c r="Q268" s="283"/>
      <c r="R268" s="263"/>
      <c r="S268" s="262"/>
      <c r="T268" s="284"/>
    </row>
    <row r="269" spans="2:20" ht="11.1" customHeight="1" x14ac:dyDescent="0.2">
      <c r="B269" s="281" t="s">
        <v>478</v>
      </c>
      <c r="C269" s="272" t="s">
        <v>1347</v>
      </c>
      <c r="D269" s="271">
        <v>39523000</v>
      </c>
      <c r="E269" s="282">
        <v>39523000</v>
      </c>
      <c r="F269" s="247"/>
      <c r="G269" s="281"/>
      <c r="H269" s="272"/>
      <c r="I269" s="271"/>
      <c r="J269" s="282"/>
      <c r="K269" s="247"/>
      <c r="L269" s="305"/>
      <c r="M269" s="306"/>
      <c r="N269" s="307"/>
      <c r="O269" s="308"/>
      <c r="P269" s="289"/>
      <c r="Q269" s="305"/>
      <c r="R269" s="306"/>
      <c r="S269" s="307"/>
      <c r="T269" s="308"/>
    </row>
    <row r="270" spans="2:20" ht="11.1" customHeight="1" x14ac:dyDescent="0.2">
      <c r="B270" s="283" t="s">
        <v>748</v>
      </c>
      <c r="C270" s="263" t="s">
        <v>1348</v>
      </c>
      <c r="D270" s="262">
        <v>39807000</v>
      </c>
      <c r="E270" s="284">
        <v>39807000</v>
      </c>
      <c r="F270" s="247"/>
      <c r="G270" s="303"/>
      <c r="H270" s="259"/>
      <c r="I270" s="258"/>
      <c r="J270" s="304"/>
      <c r="K270" s="247"/>
      <c r="L270" s="283"/>
      <c r="M270" s="263"/>
      <c r="N270" s="262"/>
      <c r="O270" s="284"/>
      <c r="P270" s="289"/>
      <c r="Q270" s="283"/>
      <c r="R270" s="263"/>
      <c r="S270" s="262"/>
      <c r="T270" s="284"/>
    </row>
    <row r="271" spans="2:20" ht="11.1" customHeight="1" x14ac:dyDescent="0.2">
      <c r="B271" s="281" t="s">
        <v>748</v>
      </c>
      <c r="C271" s="272" t="s">
        <v>1349</v>
      </c>
      <c r="D271" s="271">
        <v>39623000</v>
      </c>
      <c r="E271" s="282">
        <v>39623000</v>
      </c>
      <c r="F271" s="247"/>
      <c r="G271" s="281"/>
      <c r="H271" s="272"/>
      <c r="I271" s="271"/>
      <c r="J271" s="282"/>
      <c r="K271" s="247"/>
      <c r="L271" s="305"/>
      <c r="M271" s="306"/>
      <c r="N271" s="307"/>
      <c r="O271" s="308"/>
      <c r="P271" s="289"/>
      <c r="Q271" s="305"/>
      <c r="R271" s="306"/>
      <c r="S271" s="307"/>
      <c r="T271" s="308"/>
    </row>
    <row r="272" spans="2:20" ht="11.1" customHeight="1" x14ac:dyDescent="0.2">
      <c r="B272" s="283" t="s">
        <v>748</v>
      </c>
      <c r="C272" s="263" t="s">
        <v>1350</v>
      </c>
      <c r="D272" s="262">
        <v>39660000</v>
      </c>
      <c r="E272" s="284">
        <v>39660000</v>
      </c>
      <c r="F272" s="247"/>
      <c r="G272" s="303"/>
      <c r="H272" s="259"/>
      <c r="I272" s="258"/>
      <c r="J272" s="304"/>
      <c r="K272" s="247"/>
      <c r="L272" s="283"/>
      <c r="M272" s="263"/>
      <c r="N272" s="262"/>
      <c r="O272" s="284"/>
      <c r="P272" s="289"/>
      <c r="Q272" s="283"/>
      <c r="R272" s="263"/>
      <c r="S272" s="262"/>
      <c r="T272" s="284"/>
    </row>
    <row r="273" spans="2:20" ht="11.1" customHeight="1" x14ac:dyDescent="0.2">
      <c r="B273" s="281" t="s">
        <v>478</v>
      </c>
      <c r="C273" s="272" t="s">
        <v>1351</v>
      </c>
      <c r="D273" s="271">
        <v>39320000</v>
      </c>
      <c r="E273" s="282">
        <v>39320000</v>
      </c>
      <c r="F273" s="247"/>
      <c r="G273" s="281"/>
      <c r="H273" s="272"/>
      <c r="I273" s="271"/>
      <c r="J273" s="282"/>
      <c r="K273" s="247"/>
      <c r="L273" s="305"/>
      <c r="M273" s="306"/>
      <c r="N273" s="307"/>
      <c r="O273" s="308"/>
      <c r="P273" s="289"/>
      <c r="Q273" s="305"/>
      <c r="R273" s="306"/>
      <c r="S273" s="307"/>
      <c r="T273" s="308"/>
    </row>
    <row r="274" spans="2:20" ht="11.1" customHeight="1" x14ac:dyDescent="0.2">
      <c r="B274" s="283" t="s">
        <v>748</v>
      </c>
      <c r="C274" s="263" t="s">
        <v>1352</v>
      </c>
      <c r="D274" s="262">
        <v>39878000</v>
      </c>
      <c r="E274" s="284">
        <v>39878000</v>
      </c>
      <c r="F274" s="247"/>
      <c r="G274" s="303"/>
      <c r="H274" s="259"/>
      <c r="I274" s="258"/>
      <c r="J274" s="304"/>
      <c r="K274" s="247"/>
      <c r="L274" s="283"/>
      <c r="M274" s="263"/>
      <c r="N274" s="262"/>
      <c r="O274" s="284"/>
      <c r="P274" s="289"/>
      <c r="Q274" s="283"/>
      <c r="R274" s="263"/>
      <c r="S274" s="262"/>
      <c r="T274" s="284"/>
    </row>
    <row r="275" spans="2:20" ht="11.1" customHeight="1" x14ac:dyDescent="0.2">
      <c r="B275" s="281" t="s">
        <v>478</v>
      </c>
      <c r="C275" s="272" t="s">
        <v>1353</v>
      </c>
      <c r="D275" s="271">
        <v>39439000</v>
      </c>
      <c r="E275" s="282">
        <v>39439000</v>
      </c>
      <c r="F275" s="247"/>
      <c r="G275" s="281"/>
      <c r="H275" s="272"/>
      <c r="I275" s="271"/>
      <c r="J275" s="282"/>
      <c r="K275" s="247"/>
      <c r="L275" s="305"/>
      <c r="M275" s="306"/>
      <c r="N275" s="307"/>
      <c r="O275" s="308"/>
      <c r="P275" s="289"/>
      <c r="Q275" s="305"/>
      <c r="R275" s="306"/>
      <c r="S275" s="307"/>
      <c r="T275" s="308"/>
    </row>
    <row r="276" spans="2:20" ht="11.1" customHeight="1" x14ac:dyDescent="0.2">
      <c r="B276" s="283" t="s">
        <v>800</v>
      </c>
      <c r="C276" s="263" t="s">
        <v>1354</v>
      </c>
      <c r="D276" s="262">
        <v>38610000</v>
      </c>
      <c r="E276" s="284">
        <v>38610000</v>
      </c>
      <c r="F276" s="247"/>
      <c r="G276" s="303"/>
      <c r="H276" s="259"/>
      <c r="I276" s="258"/>
      <c r="J276" s="304"/>
      <c r="K276" s="247"/>
      <c r="L276" s="283"/>
      <c r="M276" s="263"/>
      <c r="N276" s="262"/>
      <c r="O276" s="284"/>
      <c r="P276" s="289"/>
      <c r="Q276" s="283"/>
      <c r="R276" s="263"/>
      <c r="S276" s="262"/>
      <c r="T276" s="284"/>
    </row>
    <row r="277" spans="2:20" ht="11.1" customHeight="1" x14ac:dyDescent="0.2">
      <c r="B277" s="281" t="s">
        <v>800</v>
      </c>
      <c r="C277" s="272" t="s">
        <v>1355</v>
      </c>
      <c r="D277" s="271">
        <v>38630000</v>
      </c>
      <c r="E277" s="282">
        <v>38630000</v>
      </c>
      <c r="F277" s="247"/>
      <c r="G277" s="281"/>
      <c r="H277" s="272"/>
      <c r="I277" s="271"/>
      <c r="J277" s="282"/>
      <c r="K277" s="247"/>
      <c r="L277" s="305"/>
      <c r="M277" s="306"/>
      <c r="N277" s="307"/>
      <c r="O277" s="308"/>
      <c r="P277" s="289"/>
      <c r="Q277" s="305"/>
      <c r="R277" s="306"/>
      <c r="S277" s="307"/>
      <c r="T277" s="308"/>
    </row>
    <row r="278" spans="2:20" ht="11.1" customHeight="1" x14ac:dyDescent="0.2">
      <c r="B278" s="283" t="s">
        <v>800</v>
      </c>
      <c r="C278" s="263" t="s">
        <v>1356</v>
      </c>
      <c r="D278" s="262">
        <v>39315000</v>
      </c>
      <c r="E278" s="284">
        <v>39315000</v>
      </c>
      <c r="F278" s="247"/>
      <c r="G278" s="303"/>
      <c r="H278" s="259"/>
      <c r="I278" s="258"/>
      <c r="J278" s="304"/>
      <c r="K278" s="247"/>
      <c r="L278" s="283"/>
      <c r="M278" s="263"/>
      <c r="N278" s="262"/>
      <c r="O278" s="284"/>
      <c r="P278" s="289"/>
      <c r="Q278" s="283"/>
      <c r="R278" s="263"/>
      <c r="S278" s="262"/>
      <c r="T278" s="284"/>
    </row>
    <row r="279" spans="2:20" ht="11.1" customHeight="1" x14ac:dyDescent="0.2">
      <c r="B279" s="281" t="s">
        <v>748</v>
      </c>
      <c r="C279" s="272" t="s">
        <v>1357</v>
      </c>
      <c r="D279" s="271">
        <v>39829000</v>
      </c>
      <c r="E279" s="282">
        <v>39829000</v>
      </c>
      <c r="F279" s="247"/>
      <c r="G279" s="281"/>
      <c r="H279" s="272"/>
      <c r="I279" s="271"/>
      <c r="J279" s="282"/>
      <c r="K279" s="247"/>
      <c r="L279" s="305"/>
      <c r="M279" s="306"/>
      <c r="N279" s="307"/>
      <c r="O279" s="308"/>
      <c r="P279" s="289"/>
      <c r="Q279" s="305"/>
      <c r="R279" s="306"/>
      <c r="S279" s="307"/>
      <c r="T279" s="308"/>
    </row>
    <row r="280" spans="2:20" ht="11.1" customHeight="1" x14ac:dyDescent="0.2">
      <c r="B280" s="283" t="s">
        <v>478</v>
      </c>
      <c r="C280" s="263" t="s">
        <v>1358</v>
      </c>
      <c r="D280" s="262">
        <v>39535000</v>
      </c>
      <c r="E280" s="284">
        <v>39535000</v>
      </c>
      <c r="F280" s="247"/>
      <c r="G280" s="303"/>
      <c r="H280" s="259"/>
      <c r="I280" s="258"/>
      <c r="J280" s="304"/>
      <c r="K280" s="247"/>
      <c r="L280" s="283"/>
      <c r="M280" s="263"/>
      <c r="N280" s="262"/>
      <c r="O280" s="284"/>
      <c r="P280" s="289"/>
      <c r="Q280" s="283"/>
      <c r="R280" s="263"/>
      <c r="S280" s="262"/>
      <c r="T280" s="284"/>
    </row>
    <row r="281" spans="2:20" ht="11.1" customHeight="1" x14ac:dyDescent="0.2">
      <c r="B281" s="281" t="s">
        <v>478</v>
      </c>
      <c r="C281" s="272" t="s">
        <v>1359</v>
      </c>
      <c r="D281" s="271">
        <v>39450000</v>
      </c>
      <c r="E281" s="282">
        <v>39450000</v>
      </c>
      <c r="F281" s="247"/>
      <c r="G281" s="281"/>
      <c r="H281" s="272"/>
      <c r="I281" s="271"/>
      <c r="J281" s="282"/>
      <c r="K281" s="247"/>
      <c r="L281" s="305"/>
      <c r="M281" s="306"/>
      <c r="N281" s="307"/>
      <c r="O281" s="308"/>
      <c r="P281" s="289"/>
      <c r="Q281" s="305"/>
      <c r="R281" s="306"/>
      <c r="S281" s="307"/>
      <c r="T281" s="308"/>
    </row>
    <row r="282" spans="2:20" ht="11.1" customHeight="1" x14ac:dyDescent="0.2">
      <c r="B282" s="283" t="s">
        <v>478</v>
      </c>
      <c r="C282" s="263" t="s">
        <v>1360</v>
      </c>
      <c r="D282" s="262">
        <v>39458000</v>
      </c>
      <c r="E282" s="284">
        <v>39458000</v>
      </c>
      <c r="F282" s="247"/>
      <c r="G282" s="303"/>
      <c r="H282" s="259"/>
      <c r="I282" s="258"/>
      <c r="J282" s="304"/>
      <c r="K282" s="247"/>
      <c r="L282" s="283"/>
      <c r="M282" s="263"/>
      <c r="N282" s="262"/>
      <c r="O282" s="284"/>
      <c r="P282" s="289"/>
      <c r="Q282" s="283"/>
      <c r="R282" s="263"/>
      <c r="S282" s="262"/>
      <c r="T282" s="284"/>
    </row>
    <row r="283" spans="2:20" ht="11.1" customHeight="1" x14ac:dyDescent="0.2">
      <c r="B283" s="281" t="s">
        <v>478</v>
      </c>
      <c r="C283" s="272" t="s">
        <v>1361</v>
      </c>
      <c r="D283" s="271">
        <v>39545000</v>
      </c>
      <c r="E283" s="282">
        <v>39545000</v>
      </c>
      <c r="F283" s="247"/>
      <c r="G283" s="281"/>
      <c r="H283" s="272"/>
      <c r="I283" s="271"/>
      <c r="J283" s="282"/>
      <c r="K283" s="247"/>
      <c r="L283" s="305"/>
      <c r="M283" s="306"/>
      <c r="N283" s="307"/>
      <c r="O283" s="308"/>
      <c r="P283" s="289"/>
      <c r="Q283" s="305"/>
      <c r="R283" s="306"/>
      <c r="S283" s="307"/>
      <c r="T283" s="308"/>
    </row>
    <row r="284" spans="2:20" ht="11.1" customHeight="1" x14ac:dyDescent="0.2">
      <c r="B284" s="283" t="s">
        <v>748</v>
      </c>
      <c r="C284" s="263" t="s">
        <v>1362</v>
      </c>
      <c r="D284" s="262">
        <v>39663000</v>
      </c>
      <c r="E284" s="284">
        <v>39663000</v>
      </c>
      <c r="F284" s="247"/>
      <c r="G284" s="303"/>
      <c r="H284" s="259"/>
      <c r="I284" s="258"/>
      <c r="J284" s="304"/>
      <c r="K284" s="247"/>
      <c r="L284" s="283"/>
      <c r="M284" s="263"/>
      <c r="N284" s="262"/>
      <c r="O284" s="284"/>
      <c r="P284" s="289"/>
      <c r="Q284" s="283"/>
      <c r="R284" s="263"/>
      <c r="S284" s="262"/>
      <c r="T284" s="284"/>
    </row>
    <row r="285" spans="2:20" ht="11.1" customHeight="1" x14ac:dyDescent="0.2">
      <c r="B285" s="281" t="s">
        <v>478</v>
      </c>
      <c r="C285" s="272" t="s">
        <v>1363</v>
      </c>
      <c r="D285" s="271">
        <v>39416000</v>
      </c>
      <c r="E285" s="282">
        <v>39416000</v>
      </c>
      <c r="F285" s="247"/>
      <c r="G285" s="281"/>
      <c r="H285" s="272"/>
      <c r="I285" s="271"/>
      <c r="J285" s="282"/>
      <c r="K285" s="247"/>
      <c r="L285" s="305"/>
      <c r="M285" s="306"/>
      <c r="N285" s="307"/>
      <c r="O285" s="308"/>
      <c r="P285" s="289"/>
      <c r="Q285" s="305"/>
      <c r="R285" s="306"/>
      <c r="S285" s="307"/>
      <c r="T285" s="308"/>
    </row>
    <row r="286" spans="2:20" ht="11.1" customHeight="1" x14ac:dyDescent="0.2">
      <c r="B286" s="283" t="s">
        <v>478</v>
      </c>
      <c r="C286" s="263" t="s">
        <v>1364</v>
      </c>
      <c r="D286" s="262">
        <v>39444000</v>
      </c>
      <c r="E286" s="284">
        <v>39444000</v>
      </c>
      <c r="F286" s="247"/>
      <c r="G286" s="303"/>
      <c r="H286" s="259"/>
      <c r="I286" s="258"/>
      <c r="J286" s="304"/>
      <c r="K286" s="247"/>
      <c r="L286" s="283"/>
      <c r="M286" s="263"/>
      <c r="N286" s="262"/>
      <c r="O286" s="284"/>
      <c r="P286" s="289"/>
      <c r="Q286" s="283"/>
      <c r="R286" s="263"/>
      <c r="S286" s="262"/>
      <c r="T286" s="284"/>
    </row>
    <row r="287" spans="2:20" ht="11.1" customHeight="1" x14ac:dyDescent="0.2">
      <c r="B287" s="281" t="s">
        <v>748</v>
      </c>
      <c r="C287" s="272" t="s">
        <v>1365</v>
      </c>
      <c r="D287" s="271">
        <v>39862000</v>
      </c>
      <c r="E287" s="282">
        <v>39862000</v>
      </c>
      <c r="F287" s="247"/>
      <c r="G287" s="281"/>
      <c r="H287" s="272"/>
      <c r="I287" s="271"/>
      <c r="J287" s="282"/>
      <c r="K287" s="247"/>
      <c r="L287" s="305"/>
      <c r="M287" s="306"/>
      <c r="N287" s="307"/>
      <c r="O287" s="308"/>
      <c r="P287" s="289"/>
      <c r="Q287" s="305"/>
      <c r="R287" s="306"/>
      <c r="S287" s="307"/>
      <c r="T287" s="308"/>
    </row>
    <row r="288" spans="2:20" ht="11.1" customHeight="1" x14ac:dyDescent="0.2">
      <c r="B288" s="283" t="s">
        <v>748</v>
      </c>
      <c r="C288" s="263" t="s">
        <v>1366</v>
      </c>
      <c r="D288" s="262">
        <v>39630000</v>
      </c>
      <c r="E288" s="284">
        <v>39630000</v>
      </c>
      <c r="F288" s="247"/>
      <c r="G288" s="303"/>
      <c r="H288" s="259"/>
      <c r="I288" s="258"/>
      <c r="J288" s="304"/>
      <c r="K288" s="247"/>
      <c r="L288" s="283"/>
      <c r="M288" s="263"/>
      <c r="N288" s="262"/>
      <c r="O288" s="284"/>
      <c r="P288" s="289"/>
      <c r="Q288" s="283"/>
      <c r="R288" s="263"/>
      <c r="S288" s="262"/>
      <c r="T288" s="284"/>
    </row>
    <row r="289" spans="2:20" ht="11.1" customHeight="1" x14ac:dyDescent="0.2">
      <c r="B289" s="281" t="s">
        <v>478</v>
      </c>
      <c r="C289" s="272" t="s">
        <v>1367</v>
      </c>
      <c r="D289" s="271">
        <v>39385000</v>
      </c>
      <c r="E289" s="282">
        <v>39385000</v>
      </c>
      <c r="F289" s="247"/>
      <c r="G289" s="281"/>
      <c r="H289" s="272"/>
      <c r="I289" s="271"/>
      <c r="J289" s="282"/>
      <c r="K289" s="289"/>
      <c r="L289" s="305"/>
      <c r="M289" s="306"/>
      <c r="N289" s="307"/>
      <c r="O289" s="308"/>
      <c r="P289" s="289"/>
      <c r="Q289" s="305"/>
      <c r="R289" s="306"/>
      <c r="S289" s="307"/>
      <c r="T289" s="308"/>
    </row>
    <row r="290" spans="2:20" ht="11.1" customHeight="1" x14ac:dyDescent="0.2">
      <c r="B290" s="283"/>
      <c r="C290" s="263"/>
      <c r="D290" s="262"/>
      <c r="E290" s="284"/>
      <c r="F290" s="247"/>
      <c r="G290" s="303"/>
      <c r="H290" s="259"/>
      <c r="I290" s="258"/>
      <c r="J290" s="304"/>
      <c r="K290" s="247"/>
      <c r="L290" s="283"/>
      <c r="M290" s="263"/>
      <c r="N290" s="262"/>
      <c r="O290" s="284"/>
      <c r="P290" s="289"/>
      <c r="Q290" s="283"/>
      <c r="R290" s="263"/>
      <c r="S290" s="262"/>
      <c r="T290" s="284"/>
    </row>
    <row r="291" spans="2:20" ht="11.1" customHeight="1" x14ac:dyDescent="0.2">
      <c r="B291" s="281"/>
      <c r="C291" s="272"/>
      <c r="D291" s="271"/>
      <c r="E291" s="282"/>
      <c r="F291" s="247"/>
      <c r="G291" s="281"/>
      <c r="H291" s="272"/>
      <c r="I291" s="271"/>
      <c r="J291" s="282"/>
      <c r="K291" s="247"/>
      <c r="L291" s="305"/>
      <c r="M291" s="306"/>
      <c r="N291" s="307"/>
      <c r="O291" s="308"/>
      <c r="P291" s="289"/>
      <c r="Q291" s="305"/>
      <c r="R291" s="306"/>
      <c r="S291" s="307"/>
      <c r="T291" s="308"/>
    </row>
    <row r="292" spans="2:20" x14ac:dyDescent="0.2">
      <c r="B292" s="303"/>
      <c r="C292" s="259"/>
      <c r="D292" s="258"/>
      <c r="E292" s="304"/>
      <c r="G292" s="303"/>
      <c r="H292" s="259"/>
      <c r="I292" s="258"/>
      <c r="J292" s="304"/>
      <c r="L292" s="283"/>
      <c r="M292" s="263"/>
      <c r="N292" s="262"/>
      <c r="O292" s="284"/>
      <c r="Q292" s="283"/>
      <c r="R292" s="263"/>
      <c r="S292" s="262"/>
      <c r="T292" s="284"/>
    </row>
    <row r="293" spans="2:20" x14ac:dyDescent="0.2">
      <c r="B293" s="281"/>
      <c r="C293" s="272"/>
      <c r="D293" s="271"/>
      <c r="E293" s="282"/>
      <c r="G293" s="281"/>
      <c r="H293" s="272"/>
      <c r="I293" s="271"/>
      <c r="J293" s="282"/>
      <c r="L293" s="305"/>
      <c r="M293" s="306"/>
      <c r="N293" s="307"/>
      <c r="O293" s="308"/>
      <c r="Q293" s="305"/>
      <c r="R293" s="306"/>
      <c r="S293" s="307"/>
      <c r="T293" s="308"/>
    </row>
    <row r="294" spans="2:20" x14ac:dyDescent="0.2">
      <c r="B294" s="303"/>
      <c r="C294" s="259"/>
      <c r="D294" s="258"/>
      <c r="E294" s="304"/>
      <c r="G294" s="303"/>
      <c r="H294" s="259"/>
      <c r="I294" s="258"/>
      <c r="J294" s="304"/>
      <c r="L294" s="283"/>
      <c r="M294" s="263"/>
      <c r="N294" s="262"/>
      <c r="O294" s="284"/>
      <c r="Q294" s="283"/>
      <c r="R294" s="263"/>
      <c r="S294" s="262"/>
      <c r="T294" s="284"/>
    </row>
    <row r="295" spans="2:20" x14ac:dyDescent="0.2">
      <c r="B295" s="281"/>
      <c r="C295" s="272"/>
      <c r="D295" s="271"/>
      <c r="E295" s="282"/>
      <c r="G295" s="281"/>
      <c r="H295" s="272"/>
      <c r="I295" s="271"/>
      <c r="J295" s="282"/>
      <c r="L295" s="305"/>
      <c r="M295" s="306"/>
      <c r="N295" s="307"/>
      <c r="O295" s="308"/>
      <c r="Q295" s="305"/>
      <c r="R295" s="306"/>
      <c r="S295" s="307"/>
      <c r="T295" s="308"/>
    </row>
    <row r="296" spans="2:20" x14ac:dyDescent="0.2">
      <c r="B296" s="303"/>
      <c r="C296" s="259"/>
      <c r="D296" s="258"/>
      <c r="E296" s="304"/>
      <c r="G296" s="303"/>
      <c r="H296" s="259"/>
      <c r="I296" s="258"/>
      <c r="J296" s="304"/>
      <c r="L296" s="283"/>
      <c r="M296" s="263"/>
      <c r="N296" s="262"/>
      <c r="O296" s="284"/>
      <c r="Q296" s="283"/>
      <c r="R296" s="263"/>
      <c r="S296" s="262"/>
      <c r="T296" s="284"/>
    </row>
    <row r="297" spans="2:20" x14ac:dyDescent="0.2">
      <c r="B297" s="281"/>
      <c r="C297" s="272"/>
      <c r="D297" s="271"/>
      <c r="E297" s="282"/>
      <c r="G297" s="281"/>
      <c r="H297" s="272"/>
      <c r="I297" s="271"/>
      <c r="J297" s="282"/>
      <c r="L297" s="305"/>
      <c r="M297" s="306"/>
      <c r="N297" s="307"/>
      <c r="O297" s="308"/>
      <c r="Q297" s="305"/>
      <c r="R297" s="306"/>
      <c r="S297" s="307"/>
      <c r="T297" s="308"/>
    </row>
    <row r="298" spans="2:20" x14ac:dyDescent="0.2">
      <c r="B298" s="303"/>
      <c r="C298" s="259"/>
      <c r="D298" s="258"/>
      <c r="E298" s="304"/>
      <c r="G298" s="303"/>
      <c r="H298" s="259"/>
      <c r="I298" s="258"/>
      <c r="J298" s="304"/>
      <c r="L298" s="283"/>
      <c r="M298" s="263"/>
      <c r="N298" s="262"/>
      <c r="O298" s="284"/>
      <c r="Q298" s="283"/>
      <c r="R298" s="263"/>
      <c r="S298" s="262"/>
      <c r="T298" s="284"/>
    </row>
    <row r="299" spans="2:20" x14ac:dyDescent="0.2">
      <c r="B299" s="281"/>
      <c r="C299" s="272"/>
      <c r="D299" s="271"/>
      <c r="E299" s="282"/>
      <c r="G299" s="281"/>
      <c r="H299" s="272"/>
      <c r="I299" s="271"/>
      <c r="J299" s="282"/>
      <c r="L299" s="305"/>
      <c r="M299" s="306"/>
      <c r="N299" s="307"/>
      <c r="O299" s="308"/>
      <c r="Q299" s="305"/>
      <c r="R299" s="306"/>
      <c r="S299" s="307"/>
      <c r="T299" s="308"/>
    </row>
    <row r="300" spans="2:20" x14ac:dyDescent="0.2">
      <c r="B300" s="303"/>
      <c r="C300" s="259"/>
      <c r="D300" s="258"/>
      <c r="E300" s="304"/>
      <c r="G300" s="303"/>
      <c r="H300" s="259"/>
      <c r="I300" s="258"/>
      <c r="J300" s="304"/>
      <c r="L300" s="283"/>
      <c r="M300" s="263"/>
      <c r="N300" s="262"/>
      <c r="O300" s="284"/>
      <c r="Q300" s="283"/>
      <c r="R300" s="263"/>
      <c r="S300" s="262"/>
      <c r="T300" s="284"/>
    </row>
    <row r="301" spans="2:20" x14ac:dyDescent="0.2">
      <c r="B301" s="281"/>
      <c r="C301" s="272"/>
      <c r="D301" s="271"/>
      <c r="E301" s="282"/>
      <c r="G301" s="281"/>
      <c r="H301" s="272"/>
      <c r="I301" s="271"/>
      <c r="J301" s="282"/>
      <c r="L301" s="305"/>
      <c r="M301" s="306"/>
      <c r="N301" s="307"/>
      <c r="O301" s="308"/>
      <c r="Q301" s="305"/>
      <c r="R301" s="306"/>
      <c r="S301" s="307"/>
      <c r="T301" s="308"/>
    </row>
    <row r="302" spans="2:20" x14ac:dyDescent="0.2">
      <c r="B302" s="303"/>
      <c r="C302" s="259"/>
      <c r="D302" s="258"/>
      <c r="E302" s="304"/>
      <c r="G302" s="303"/>
      <c r="H302" s="259"/>
      <c r="I302" s="258"/>
      <c r="J302" s="304"/>
      <c r="L302" s="283"/>
      <c r="M302" s="263"/>
      <c r="N302" s="262"/>
      <c r="O302" s="284"/>
      <c r="Q302" s="283"/>
      <c r="R302" s="263"/>
      <c r="S302" s="262"/>
      <c r="T302" s="284"/>
    </row>
    <row r="303" spans="2:20" x14ac:dyDescent="0.2">
      <c r="B303" s="281"/>
      <c r="C303" s="272"/>
      <c r="D303" s="271"/>
      <c r="E303" s="282"/>
      <c r="G303" s="281"/>
      <c r="H303" s="272"/>
      <c r="I303" s="271"/>
      <c r="J303" s="282"/>
      <c r="L303" s="305"/>
      <c r="M303" s="306"/>
      <c r="N303" s="307"/>
      <c r="O303" s="308"/>
      <c r="Q303" s="305"/>
      <c r="R303" s="306"/>
      <c r="S303" s="307"/>
      <c r="T303" s="308"/>
    </row>
    <row r="304" spans="2:20" x14ac:dyDescent="0.2">
      <c r="B304" s="303"/>
      <c r="C304" s="259"/>
      <c r="D304" s="258"/>
      <c r="E304" s="304"/>
      <c r="G304" s="303"/>
      <c r="H304" s="259"/>
      <c r="I304" s="258"/>
      <c r="J304" s="304"/>
      <c r="L304" s="283"/>
      <c r="M304" s="263"/>
      <c r="N304" s="262"/>
      <c r="O304" s="284"/>
      <c r="Q304" s="283"/>
      <c r="R304" s="263"/>
      <c r="S304" s="262"/>
      <c r="T304" s="284"/>
    </row>
    <row r="305" spans="2:20" x14ac:dyDescent="0.2">
      <c r="B305" s="281"/>
      <c r="C305" s="272"/>
      <c r="D305" s="271"/>
      <c r="E305" s="282"/>
      <c r="G305" s="281"/>
      <c r="H305" s="272"/>
      <c r="I305" s="271"/>
      <c r="J305" s="282"/>
      <c r="L305" s="305"/>
      <c r="M305" s="306"/>
      <c r="N305" s="307"/>
      <c r="O305" s="308"/>
      <c r="P305" s="232"/>
      <c r="Q305" s="305"/>
      <c r="R305" s="306"/>
      <c r="S305" s="307"/>
      <c r="T305" s="308"/>
    </row>
    <row r="306" spans="2:20" x14ac:dyDescent="0.2">
      <c r="B306" s="303"/>
      <c r="C306" s="259"/>
      <c r="D306" s="258"/>
      <c r="E306" s="304"/>
      <c r="G306" s="303"/>
      <c r="H306" s="259"/>
      <c r="I306" s="258"/>
      <c r="J306" s="304"/>
      <c r="L306" s="283"/>
      <c r="M306" s="263"/>
      <c r="N306" s="262"/>
      <c r="O306" s="284"/>
      <c r="P306" s="232"/>
      <c r="Q306" s="283"/>
      <c r="R306" s="263"/>
      <c r="S306" s="262"/>
      <c r="T306" s="284"/>
    </row>
    <row r="307" spans="2:20" x14ac:dyDescent="0.2">
      <c r="B307" s="281"/>
      <c r="C307" s="272"/>
      <c r="D307" s="271"/>
      <c r="E307" s="282"/>
      <c r="G307" s="281"/>
      <c r="H307" s="272"/>
      <c r="I307" s="271"/>
      <c r="J307" s="282"/>
      <c r="L307" s="305"/>
      <c r="M307" s="306"/>
      <c r="N307" s="307"/>
      <c r="O307" s="308"/>
      <c r="P307" s="232"/>
      <c r="Q307" s="305"/>
      <c r="R307" s="306"/>
      <c r="S307" s="307"/>
      <c r="T307" s="308"/>
    </row>
    <row r="308" spans="2:20" x14ac:dyDescent="0.2">
      <c r="B308" s="283"/>
      <c r="C308" s="263"/>
      <c r="D308" s="262"/>
      <c r="E308" s="284"/>
      <c r="G308" s="303"/>
      <c r="H308" s="259"/>
      <c r="I308" s="258"/>
      <c r="J308" s="304"/>
      <c r="L308" s="283"/>
      <c r="M308" s="263"/>
      <c r="N308" s="262"/>
      <c r="O308" s="284"/>
      <c r="P308" s="232"/>
      <c r="Q308" s="283"/>
      <c r="R308" s="263"/>
      <c r="S308" s="262"/>
      <c r="T308" s="284"/>
    </row>
    <row r="309" spans="2:20" x14ac:dyDescent="0.2">
      <c r="B309" s="281"/>
      <c r="C309" s="272"/>
      <c r="D309" s="271"/>
      <c r="E309" s="282"/>
      <c r="G309" s="281"/>
      <c r="H309" s="272"/>
      <c r="I309" s="271"/>
      <c r="J309" s="282"/>
      <c r="L309" s="305"/>
      <c r="M309" s="306"/>
      <c r="N309" s="307"/>
      <c r="O309" s="308"/>
      <c r="P309" s="232"/>
      <c r="Q309" s="305"/>
      <c r="R309" s="306"/>
      <c r="S309" s="307"/>
      <c r="T309" s="308"/>
    </row>
    <row r="310" spans="2:20" x14ac:dyDescent="0.2">
      <c r="B310" s="283"/>
      <c r="C310" s="263"/>
      <c r="D310" s="262"/>
      <c r="E310" s="284"/>
      <c r="G310" s="303"/>
      <c r="H310" s="259"/>
      <c r="I310" s="258"/>
      <c r="J310" s="304"/>
      <c r="L310" s="283"/>
      <c r="M310" s="263"/>
      <c r="N310" s="262"/>
      <c r="O310" s="284"/>
      <c r="P310" s="232"/>
      <c r="Q310" s="283"/>
      <c r="R310" s="263"/>
      <c r="S310" s="262"/>
      <c r="T310" s="284"/>
    </row>
    <row r="311" spans="2:20" ht="12.75" thickBot="1" x14ac:dyDescent="0.25">
      <c r="B311" s="309"/>
      <c r="C311" s="310"/>
      <c r="D311" s="311"/>
      <c r="E311" s="312"/>
      <c r="G311" s="309"/>
      <c r="H311" s="310"/>
      <c r="I311" s="311"/>
      <c r="J311" s="312"/>
      <c r="L311" s="309"/>
      <c r="M311" s="310"/>
      <c r="N311" s="311"/>
      <c r="O311" s="312"/>
      <c r="P311" s="232"/>
      <c r="Q311" s="309"/>
      <c r="R311" s="310"/>
      <c r="S311" s="311"/>
      <c r="T311" s="312"/>
    </row>
  </sheetData>
  <sheetProtection algorithmName="SHA-512" hashValue="Dr4cQ8b42unBql0mpEMX63rljJWNR/YrApHSqd28+Wg/aiF5RDHjaSAStreuJuENGZJK28g7xNzVKUd79tWaEg==" saltValue="+572eSRuOFTI67bYCSeTJg==" spinCount="100000" sheet="1" objects="1" scenarios="1"/>
  <mergeCells count="5">
    <mergeCell ref="B2:T2"/>
    <mergeCell ref="B4:D4"/>
    <mergeCell ref="G4:I4"/>
    <mergeCell ref="L4:N4"/>
    <mergeCell ref="Q4:S4"/>
  </mergeCells>
  <conditionalFormatting sqref="C7:C12 C14:C288">
    <cfRule type="duplicateValues" dxfId="5" priority="5"/>
  </conditionalFormatting>
  <conditionalFormatting sqref="C13">
    <cfRule type="duplicateValues" dxfId="4" priority="1"/>
  </conditionalFormatting>
  <conditionalFormatting sqref="C17">
    <cfRule type="duplicateValues" dxfId="3" priority="3"/>
  </conditionalFormatting>
  <conditionalFormatting sqref="C289:C290">
    <cfRule type="duplicateValues" dxfId="2" priority="2"/>
  </conditionalFormatting>
  <conditionalFormatting sqref="H7:H184">
    <cfRule type="duplicateValues" dxfId="1" priority="6"/>
  </conditionalFormatting>
  <conditionalFormatting sqref="M7:M131">
    <cfRule type="duplicateValues" dxfId="0" priority="4"/>
  </conditionalFormatting>
  <pageMargins left="0.19685039370078741" right="0.19685039370078741" top="0.19685039370078741" bottom="0.19685039370078741" header="0" footer="0"/>
  <pageSetup paperSize="9" scale="96" orientation="landscape" r:id="rId1"/>
  <headerFooter>
    <oddHeader>&amp;L&amp;"Aptos"&amp;10&amp;K008000 Classificação: Pública&amp;1#_x000D_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BEA6-DFC6-49A3-97A8-E6962D40B024}">
  <sheetPr codeName="Plan9">
    <tabColor theme="9" tint="-0.249977111117893"/>
  </sheetPr>
  <dimension ref="A1:H1138"/>
  <sheetViews>
    <sheetView showGridLines="0" zoomScaleNormal="100" zoomScaleSheetLayoutView="120" workbookViewId="0">
      <selection sqref="A1:AP1"/>
    </sheetView>
  </sheetViews>
  <sheetFormatPr defaultColWidth="8.7109375" defaultRowHeight="12" x14ac:dyDescent="0.2"/>
  <cols>
    <col min="1" max="1" width="1.42578125" style="232" customWidth="1"/>
    <col min="2" max="2" width="6.42578125" style="232" customWidth="1"/>
    <col min="3" max="3" width="4.85546875" style="232" bestFit="1" customWidth="1"/>
    <col min="4" max="4" width="46.85546875" style="232" bestFit="1" customWidth="1"/>
    <col min="5" max="5" width="13" style="232" customWidth="1"/>
    <col min="6" max="6" width="10" style="232" customWidth="1"/>
    <col min="7" max="7" width="3.7109375" style="233" customWidth="1"/>
    <col min="8" max="8" width="18.7109375" style="232" customWidth="1"/>
    <col min="9" max="16384" width="8.7109375" style="232"/>
  </cols>
  <sheetData>
    <row r="1" spans="1:8" ht="5.25" customHeight="1" x14ac:dyDescent="0.2">
      <c r="H1" s="234"/>
    </row>
    <row r="2" spans="1:8" ht="25.5" customHeight="1" x14ac:dyDescent="0.2">
      <c r="A2" s="235"/>
      <c r="B2" s="515" t="s">
        <v>1368</v>
      </c>
      <c r="C2" s="515"/>
      <c r="D2" s="515"/>
      <c r="E2" s="515"/>
      <c r="F2" s="515"/>
      <c r="G2" s="235"/>
      <c r="H2" s="235"/>
    </row>
    <row r="3" spans="1:8" ht="2.25" customHeight="1" x14ac:dyDescent="0.2">
      <c r="H3" s="234"/>
    </row>
    <row r="4" spans="1:8" s="238" customFormat="1" ht="9.9499999999999993" customHeight="1" x14ac:dyDescent="0.2">
      <c r="A4" s="236"/>
      <c r="B4" s="517" t="s">
        <v>1369</v>
      </c>
      <c r="C4" s="517"/>
      <c r="D4" s="517"/>
      <c r="E4" s="517"/>
      <c r="F4" s="237">
        <f>COUNTA(D7:D1138)</f>
        <v>1132</v>
      </c>
      <c r="G4" s="236"/>
    </row>
    <row r="5" spans="1:8" s="238" customFormat="1" ht="2.25" customHeight="1" x14ac:dyDescent="0.2">
      <c r="A5" s="236"/>
      <c r="B5" s="239"/>
      <c r="C5" s="239"/>
      <c r="D5" s="239"/>
      <c r="E5" s="239"/>
      <c r="F5" s="240"/>
      <c r="G5" s="236"/>
    </row>
    <row r="6" spans="1:8" s="246" customFormat="1" x14ac:dyDescent="0.2">
      <c r="A6" s="241"/>
      <c r="B6" s="243" t="s">
        <v>385</v>
      </c>
      <c r="C6" s="243" t="s">
        <v>386</v>
      </c>
      <c r="D6" s="244" t="s">
        <v>387</v>
      </c>
      <c r="E6" s="244" t="s">
        <v>388</v>
      </c>
      <c r="F6" s="295" t="s">
        <v>389</v>
      </c>
      <c r="G6" s="241"/>
    </row>
    <row r="7" spans="1:8" ht="11.1" customHeight="1" x14ac:dyDescent="0.2">
      <c r="A7" s="247"/>
      <c r="B7" s="313" t="s">
        <v>447</v>
      </c>
      <c r="C7" s="249" t="s">
        <v>475</v>
      </c>
      <c r="D7" s="250" t="s">
        <v>1370</v>
      </c>
      <c r="E7" s="251" t="s">
        <v>1371</v>
      </c>
      <c r="F7" s="314" t="s">
        <v>1372</v>
      </c>
      <c r="G7" s="247"/>
    </row>
    <row r="8" spans="1:8" ht="11.1" customHeight="1" x14ac:dyDescent="0.2">
      <c r="A8" s="247"/>
      <c r="B8" s="303" t="s">
        <v>393</v>
      </c>
      <c r="C8" s="258" t="s">
        <v>394</v>
      </c>
      <c r="D8" s="259" t="s">
        <v>750</v>
      </c>
      <c r="E8" s="258" t="s">
        <v>1373</v>
      </c>
      <c r="F8" s="304" t="s">
        <v>1373</v>
      </c>
      <c r="G8" s="247"/>
    </row>
    <row r="9" spans="1:8" ht="11.1" customHeight="1" x14ac:dyDescent="0.2">
      <c r="A9" s="247"/>
      <c r="B9" s="315" t="s">
        <v>393</v>
      </c>
      <c r="C9" s="266" t="s">
        <v>409</v>
      </c>
      <c r="D9" s="267" t="s">
        <v>1374</v>
      </c>
      <c r="E9" s="268" t="s">
        <v>1375</v>
      </c>
      <c r="F9" s="316" t="s">
        <v>1375</v>
      </c>
      <c r="G9" s="247"/>
    </row>
    <row r="10" spans="1:8" ht="11.1" customHeight="1" x14ac:dyDescent="0.2">
      <c r="A10" s="247"/>
      <c r="B10" s="303" t="s">
        <v>447</v>
      </c>
      <c r="C10" s="258" t="s">
        <v>465</v>
      </c>
      <c r="D10" s="259" t="s">
        <v>1376</v>
      </c>
      <c r="E10" s="274" t="s">
        <v>1377</v>
      </c>
      <c r="F10" s="317" t="s">
        <v>1377</v>
      </c>
      <c r="G10" s="247"/>
    </row>
    <row r="11" spans="1:8" ht="11.1" customHeight="1" x14ac:dyDescent="0.2">
      <c r="A11" s="247"/>
      <c r="B11" s="315" t="s">
        <v>537</v>
      </c>
      <c r="C11" s="266" t="s">
        <v>543</v>
      </c>
      <c r="D11" s="267" t="s">
        <v>1378</v>
      </c>
      <c r="E11" s="266" t="s">
        <v>1379</v>
      </c>
      <c r="F11" s="318" t="s">
        <v>1379</v>
      </c>
      <c r="G11" s="247"/>
    </row>
    <row r="12" spans="1:8" ht="11.1" customHeight="1" x14ac:dyDescent="0.2">
      <c r="A12" s="247"/>
      <c r="B12" s="303" t="s">
        <v>447</v>
      </c>
      <c r="C12" s="258" t="s">
        <v>470</v>
      </c>
      <c r="D12" s="259" t="s">
        <v>1380</v>
      </c>
      <c r="E12" s="274" t="s">
        <v>1381</v>
      </c>
      <c r="F12" s="317" t="s">
        <v>1382</v>
      </c>
      <c r="G12" s="247"/>
    </row>
    <row r="13" spans="1:8" ht="11.1" customHeight="1" x14ac:dyDescent="0.2">
      <c r="A13" s="247"/>
      <c r="B13" s="303" t="s">
        <v>393</v>
      </c>
      <c r="C13" s="258" t="s">
        <v>774</v>
      </c>
      <c r="D13" s="259" t="s">
        <v>1383</v>
      </c>
      <c r="E13" s="274" t="s">
        <v>1384</v>
      </c>
      <c r="F13" s="317" t="s">
        <v>1384</v>
      </c>
      <c r="G13" s="247"/>
    </row>
    <row r="14" spans="1:8" ht="11.1" customHeight="1" x14ac:dyDescent="0.2">
      <c r="A14" s="247"/>
      <c r="B14" s="315" t="s">
        <v>447</v>
      </c>
      <c r="C14" s="266" t="s">
        <v>465</v>
      </c>
      <c r="D14" s="267" t="s">
        <v>1385</v>
      </c>
      <c r="E14" s="268" t="s">
        <v>1386</v>
      </c>
      <c r="F14" s="316" t="s">
        <v>1386</v>
      </c>
      <c r="G14" s="247"/>
    </row>
    <row r="15" spans="1:8" ht="11.1" customHeight="1" x14ac:dyDescent="0.2">
      <c r="A15" s="247"/>
      <c r="B15" s="303" t="s">
        <v>447</v>
      </c>
      <c r="C15" s="258" t="s">
        <v>478</v>
      </c>
      <c r="D15" s="259" t="s">
        <v>1387</v>
      </c>
      <c r="E15" s="274" t="s">
        <v>1388</v>
      </c>
      <c r="F15" s="317" t="s">
        <v>1388</v>
      </c>
      <c r="G15" s="247"/>
    </row>
    <row r="16" spans="1:8" ht="11.1" customHeight="1" x14ac:dyDescent="0.2">
      <c r="A16" s="247"/>
      <c r="B16" s="315" t="s">
        <v>505</v>
      </c>
      <c r="C16" s="266" t="s">
        <v>511</v>
      </c>
      <c r="D16" s="267" t="s">
        <v>1389</v>
      </c>
      <c r="E16" s="268" t="s">
        <v>1390</v>
      </c>
      <c r="F16" s="316" t="s">
        <v>1390</v>
      </c>
      <c r="G16" s="247"/>
    </row>
    <row r="17" spans="1:7" ht="11.1" customHeight="1" x14ac:dyDescent="0.2">
      <c r="A17" s="247"/>
      <c r="B17" s="303" t="s">
        <v>422</v>
      </c>
      <c r="C17" s="258" t="s">
        <v>423</v>
      </c>
      <c r="D17" s="259" t="s">
        <v>1391</v>
      </c>
      <c r="E17" s="274" t="s">
        <v>1392</v>
      </c>
      <c r="F17" s="317" t="s">
        <v>1392</v>
      </c>
      <c r="G17" s="247"/>
    </row>
    <row r="18" spans="1:7" ht="11.1" customHeight="1" x14ac:dyDescent="0.2">
      <c r="A18" s="247"/>
      <c r="B18" s="315" t="s">
        <v>393</v>
      </c>
      <c r="C18" s="266" t="s">
        <v>394</v>
      </c>
      <c r="D18" s="267" t="s">
        <v>1393</v>
      </c>
      <c r="E18" s="268" t="s">
        <v>1394</v>
      </c>
      <c r="F18" s="316" t="s">
        <v>1394</v>
      </c>
      <c r="G18" s="247"/>
    </row>
    <row r="19" spans="1:7" ht="11.1" customHeight="1" x14ac:dyDescent="0.2">
      <c r="A19" s="247"/>
      <c r="B19" s="303" t="s">
        <v>447</v>
      </c>
      <c r="C19" s="258" t="s">
        <v>748</v>
      </c>
      <c r="D19" s="259" t="s">
        <v>1395</v>
      </c>
      <c r="E19" s="274" t="s">
        <v>1396</v>
      </c>
      <c r="F19" s="317" t="s">
        <v>1396</v>
      </c>
      <c r="G19" s="247"/>
    </row>
    <row r="20" spans="1:7" ht="11.1" customHeight="1" x14ac:dyDescent="0.2">
      <c r="A20" s="247"/>
      <c r="B20" s="303" t="s">
        <v>537</v>
      </c>
      <c r="C20" s="258" t="s">
        <v>543</v>
      </c>
      <c r="D20" s="259" t="s">
        <v>1397</v>
      </c>
      <c r="E20" s="274" t="s">
        <v>1398</v>
      </c>
      <c r="F20" s="317" t="s">
        <v>1398</v>
      </c>
      <c r="G20" s="247"/>
    </row>
    <row r="21" spans="1:7" ht="11.1" customHeight="1" x14ac:dyDescent="0.2">
      <c r="A21" s="247"/>
      <c r="B21" s="315" t="s">
        <v>447</v>
      </c>
      <c r="C21" s="266" t="s">
        <v>475</v>
      </c>
      <c r="D21" s="267" t="s">
        <v>1399</v>
      </c>
      <c r="E21" s="268" t="s">
        <v>1400</v>
      </c>
      <c r="F21" s="316" t="s">
        <v>1400</v>
      </c>
      <c r="G21" s="247"/>
    </row>
    <row r="22" spans="1:7" ht="11.1" customHeight="1" x14ac:dyDescent="0.2">
      <c r="A22" s="247"/>
      <c r="B22" s="315" t="s">
        <v>447</v>
      </c>
      <c r="C22" s="266" t="s">
        <v>500</v>
      </c>
      <c r="D22" s="267" t="s">
        <v>1401</v>
      </c>
      <c r="E22" s="268" t="s">
        <v>1402</v>
      </c>
      <c r="F22" s="316" t="s">
        <v>1402</v>
      </c>
      <c r="G22" s="247"/>
    </row>
    <row r="23" spans="1:7" ht="11.1" customHeight="1" x14ac:dyDescent="0.2">
      <c r="A23" s="247"/>
      <c r="B23" s="303" t="s">
        <v>393</v>
      </c>
      <c r="C23" s="258" t="s">
        <v>394</v>
      </c>
      <c r="D23" s="259" t="s">
        <v>1403</v>
      </c>
      <c r="E23" s="258" t="s">
        <v>1404</v>
      </c>
      <c r="F23" s="304" t="s">
        <v>1404</v>
      </c>
      <c r="G23" s="247"/>
    </row>
    <row r="24" spans="1:7" ht="11.1" customHeight="1" x14ac:dyDescent="0.2">
      <c r="A24" s="247"/>
      <c r="B24" s="315" t="s">
        <v>447</v>
      </c>
      <c r="C24" s="266" t="s">
        <v>462</v>
      </c>
      <c r="D24" s="267" t="s">
        <v>1405</v>
      </c>
      <c r="E24" s="268" t="s">
        <v>1406</v>
      </c>
      <c r="F24" s="316" t="s">
        <v>1406</v>
      </c>
      <c r="G24" s="247"/>
    </row>
    <row r="25" spans="1:7" ht="11.1" customHeight="1" x14ac:dyDescent="0.2">
      <c r="A25" s="247"/>
      <c r="B25" s="303" t="s">
        <v>557</v>
      </c>
      <c r="C25" s="258" t="s">
        <v>570</v>
      </c>
      <c r="D25" s="259" t="s">
        <v>1407</v>
      </c>
      <c r="E25" s="274" t="s">
        <v>1408</v>
      </c>
      <c r="F25" s="317" t="s">
        <v>1408</v>
      </c>
      <c r="G25" s="247"/>
    </row>
    <row r="26" spans="1:7" ht="11.1" customHeight="1" x14ac:dyDescent="0.2">
      <c r="A26" s="247"/>
      <c r="B26" s="281" t="s">
        <v>447</v>
      </c>
      <c r="C26" s="271" t="s">
        <v>459</v>
      </c>
      <c r="D26" s="272" t="s">
        <v>1409</v>
      </c>
      <c r="E26" s="271" t="s">
        <v>1410</v>
      </c>
      <c r="F26" s="282" t="s">
        <v>1410</v>
      </c>
      <c r="G26" s="247"/>
    </row>
    <row r="27" spans="1:7" ht="11.1" customHeight="1" x14ac:dyDescent="0.2">
      <c r="A27" s="247"/>
      <c r="B27" s="283" t="s">
        <v>447</v>
      </c>
      <c r="C27" s="262" t="s">
        <v>459</v>
      </c>
      <c r="D27" s="263" t="s">
        <v>1411</v>
      </c>
      <c r="E27" s="262" t="s">
        <v>1412</v>
      </c>
      <c r="F27" s="284" t="s">
        <v>1413</v>
      </c>
      <c r="G27" s="247"/>
    </row>
    <row r="28" spans="1:7" ht="11.1" customHeight="1" x14ac:dyDescent="0.2">
      <c r="A28" s="247"/>
      <c r="B28" s="281" t="s">
        <v>447</v>
      </c>
      <c r="C28" s="271" t="s">
        <v>462</v>
      </c>
      <c r="D28" s="272" t="s">
        <v>1414</v>
      </c>
      <c r="E28" s="271" t="s">
        <v>1415</v>
      </c>
      <c r="F28" s="282" t="s">
        <v>1415</v>
      </c>
      <c r="G28" s="247"/>
    </row>
    <row r="29" spans="1:7" ht="11.1" customHeight="1" x14ac:dyDescent="0.2">
      <c r="A29" s="247"/>
      <c r="B29" s="283" t="s">
        <v>447</v>
      </c>
      <c r="C29" s="262" t="s">
        <v>451</v>
      </c>
      <c r="D29" s="263" t="s">
        <v>1416</v>
      </c>
      <c r="E29" s="262" t="s">
        <v>1417</v>
      </c>
      <c r="F29" s="284" t="s">
        <v>1417</v>
      </c>
      <c r="G29" s="247"/>
    </row>
    <row r="30" spans="1:7" ht="11.1" customHeight="1" x14ac:dyDescent="0.2">
      <c r="A30" s="247"/>
      <c r="B30" s="281" t="s">
        <v>447</v>
      </c>
      <c r="C30" s="271" t="s">
        <v>454</v>
      </c>
      <c r="D30" s="272" t="s">
        <v>1418</v>
      </c>
      <c r="E30" s="271" t="s">
        <v>1419</v>
      </c>
      <c r="F30" s="282" t="s">
        <v>1419</v>
      </c>
      <c r="G30" s="247"/>
    </row>
    <row r="31" spans="1:7" ht="11.1" customHeight="1" x14ac:dyDescent="0.2">
      <c r="A31" s="247"/>
      <c r="B31" s="283" t="s">
        <v>537</v>
      </c>
      <c r="C31" s="262" t="s">
        <v>543</v>
      </c>
      <c r="D31" s="263" t="s">
        <v>1420</v>
      </c>
      <c r="E31" s="262" t="s">
        <v>1421</v>
      </c>
      <c r="F31" s="284" t="s">
        <v>1421</v>
      </c>
      <c r="G31" s="247"/>
    </row>
    <row r="32" spans="1:7" ht="11.1" customHeight="1" x14ac:dyDescent="0.2">
      <c r="A32" s="247"/>
      <c r="B32" s="281" t="s">
        <v>505</v>
      </c>
      <c r="C32" s="271" t="s">
        <v>511</v>
      </c>
      <c r="D32" s="272" t="s">
        <v>1422</v>
      </c>
      <c r="E32" s="271" t="s">
        <v>1423</v>
      </c>
      <c r="F32" s="282" t="s">
        <v>1423</v>
      </c>
      <c r="G32" s="247"/>
    </row>
    <row r="33" spans="1:7" ht="11.1" customHeight="1" x14ac:dyDescent="0.2">
      <c r="A33" s="247"/>
      <c r="B33" s="283" t="s">
        <v>447</v>
      </c>
      <c r="C33" s="262" t="s">
        <v>478</v>
      </c>
      <c r="D33" s="263" t="s">
        <v>1424</v>
      </c>
      <c r="E33" s="262" t="s">
        <v>1425</v>
      </c>
      <c r="F33" s="284" t="s">
        <v>1425</v>
      </c>
      <c r="G33" s="247"/>
    </row>
    <row r="34" spans="1:7" ht="11.1" customHeight="1" x14ac:dyDescent="0.2">
      <c r="A34" s="247"/>
      <c r="B34" s="281" t="s">
        <v>432</v>
      </c>
      <c r="C34" s="271" t="s">
        <v>433</v>
      </c>
      <c r="D34" s="272" t="s">
        <v>1426</v>
      </c>
      <c r="E34" s="271" t="s">
        <v>1427</v>
      </c>
      <c r="F34" s="282" t="s">
        <v>1428</v>
      </c>
      <c r="G34" s="247"/>
    </row>
    <row r="35" spans="1:7" ht="11.1" customHeight="1" x14ac:dyDescent="0.2">
      <c r="A35" s="247"/>
      <c r="B35" s="283" t="s">
        <v>432</v>
      </c>
      <c r="C35" s="262" t="s">
        <v>437</v>
      </c>
      <c r="D35" s="263" t="s">
        <v>1429</v>
      </c>
      <c r="E35" s="262" t="s">
        <v>1430</v>
      </c>
      <c r="F35" s="284" t="s">
        <v>1430</v>
      </c>
      <c r="G35" s="247"/>
    </row>
    <row r="36" spans="1:7" ht="11.1" customHeight="1" x14ac:dyDescent="0.2">
      <c r="A36" s="247"/>
      <c r="B36" s="281" t="s">
        <v>432</v>
      </c>
      <c r="C36" s="271" t="s">
        <v>433</v>
      </c>
      <c r="D36" s="272" t="s">
        <v>1431</v>
      </c>
      <c r="E36" s="271" t="s">
        <v>1432</v>
      </c>
      <c r="F36" s="282" t="s">
        <v>1433</v>
      </c>
      <c r="G36" s="247"/>
    </row>
    <row r="37" spans="1:7" ht="11.1" customHeight="1" x14ac:dyDescent="0.2">
      <c r="A37" s="247"/>
      <c r="B37" s="283" t="s">
        <v>447</v>
      </c>
      <c r="C37" s="262" t="s">
        <v>465</v>
      </c>
      <c r="D37" s="263" t="s">
        <v>1434</v>
      </c>
      <c r="E37" s="262" t="s">
        <v>1435</v>
      </c>
      <c r="F37" s="284" t="s">
        <v>1435</v>
      </c>
      <c r="G37" s="247"/>
    </row>
    <row r="38" spans="1:7" ht="11.1" customHeight="1" x14ac:dyDescent="0.2">
      <c r="A38" s="247"/>
      <c r="B38" s="281" t="s">
        <v>432</v>
      </c>
      <c r="C38" s="271" t="s">
        <v>437</v>
      </c>
      <c r="D38" s="272" t="s">
        <v>1436</v>
      </c>
      <c r="E38" s="271" t="s">
        <v>1437</v>
      </c>
      <c r="F38" s="282" t="s">
        <v>1437</v>
      </c>
      <c r="G38" s="247"/>
    </row>
    <row r="39" spans="1:7" ht="11.1" customHeight="1" x14ac:dyDescent="0.2">
      <c r="A39" s="247"/>
      <c r="B39" s="283" t="s">
        <v>505</v>
      </c>
      <c r="C39" s="262" t="s">
        <v>511</v>
      </c>
      <c r="D39" s="263" t="s">
        <v>1438</v>
      </c>
      <c r="E39" s="262" t="s">
        <v>1439</v>
      </c>
      <c r="F39" s="284" t="s">
        <v>1439</v>
      </c>
      <c r="G39" s="247"/>
    </row>
    <row r="40" spans="1:7" ht="11.1" customHeight="1" x14ac:dyDescent="0.2">
      <c r="A40" s="247"/>
      <c r="B40" s="281" t="s">
        <v>432</v>
      </c>
      <c r="C40" s="271" t="s">
        <v>437</v>
      </c>
      <c r="D40" s="272" t="s">
        <v>1440</v>
      </c>
      <c r="E40" s="271" t="s">
        <v>1441</v>
      </c>
      <c r="F40" s="282" t="s">
        <v>1441</v>
      </c>
      <c r="G40" s="247"/>
    </row>
    <row r="41" spans="1:7" ht="11.1" customHeight="1" x14ac:dyDescent="0.2">
      <c r="A41" s="247"/>
      <c r="B41" s="283" t="s">
        <v>447</v>
      </c>
      <c r="C41" s="262" t="s">
        <v>459</v>
      </c>
      <c r="D41" s="263" t="s">
        <v>1442</v>
      </c>
      <c r="E41" s="262" t="s">
        <v>1443</v>
      </c>
      <c r="F41" s="284" t="s">
        <v>1443</v>
      </c>
      <c r="G41" s="247"/>
    </row>
    <row r="42" spans="1:7" ht="11.1" customHeight="1" x14ac:dyDescent="0.2">
      <c r="A42" s="247"/>
      <c r="B42" s="281" t="s">
        <v>447</v>
      </c>
      <c r="C42" s="271" t="s">
        <v>478</v>
      </c>
      <c r="D42" s="272" t="s">
        <v>1444</v>
      </c>
      <c r="E42" s="271" t="s">
        <v>1445</v>
      </c>
      <c r="F42" s="282" t="s">
        <v>1445</v>
      </c>
      <c r="G42" s="247"/>
    </row>
    <row r="43" spans="1:7" ht="11.1" customHeight="1" x14ac:dyDescent="0.2">
      <c r="A43" s="247"/>
      <c r="B43" s="283" t="s">
        <v>447</v>
      </c>
      <c r="C43" s="262" t="s">
        <v>462</v>
      </c>
      <c r="D43" s="263" t="s">
        <v>1446</v>
      </c>
      <c r="E43" s="262" t="s">
        <v>1447</v>
      </c>
      <c r="F43" s="284" t="s">
        <v>1447</v>
      </c>
      <c r="G43" s="247"/>
    </row>
    <row r="44" spans="1:7" ht="11.1" customHeight="1" x14ac:dyDescent="0.2">
      <c r="A44" s="247"/>
      <c r="B44" s="281" t="s">
        <v>447</v>
      </c>
      <c r="C44" s="271" t="s">
        <v>472</v>
      </c>
      <c r="D44" s="272" t="s">
        <v>1448</v>
      </c>
      <c r="E44" s="271" t="s">
        <v>1449</v>
      </c>
      <c r="F44" s="282" t="s">
        <v>1449</v>
      </c>
      <c r="G44" s="247"/>
    </row>
    <row r="45" spans="1:7" ht="11.1" customHeight="1" x14ac:dyDescent="0.2">
      <c r="A45" s="247"/>
      <c r="B45" s="283" t="s">
        <v>447</v>
      </c>
      <c r="C45" s="262" t="s">
        <v>448</v>
      </c>
      <c r="D45" s="263" t="s">
        <v>1450</v>
      </c>
      <c r="E45" s="262" t="s">
        <v>1451</v>
      </c>
      <c r="F45" s="284" t="s">
        <v>1451</v>
      </c>
      <c r="G45" s="247"/>
    </row>
    <row r="46" spans="1:7" ht="11.1" customHeight="1" x14ac:dyDescent="0.2">
      <c r="A46" s="247"/>
      <c r="B46" s="281" t="s">
        <v>393</v>
      </c>
      <c r="C46" s="271" t="s">
        <v>409</v>
      </c>
      <c r="D46" s="272" t="s">
        <v>1452</v>
      </c>
      <c r="E46" s="271" t="s">
        <v>1453</v>
      </c>
      <c r="F46" s="282" t="s">
        <v>1453</v>
      </c>
      <c r="G46" s="247"/>
    </row>
    <row r="47" spans="1:7" ht="11.1" customHeight="1" x14ac:dyDescent="0.2">
      <c r="A47" s="247"/>
      <c r="B47" s="283" t="s">
        <v>537</v>
      </c>
      <c r="C47" s="262" t="s">
        <v>543</v>
      </c>
      <c r="D47" s="263" t="s">
        <v>1454</v>
      </c>
      <c r="E47" s="262" t="s">
        <v>1455</v>
      </c>
      <c r="F47" s="284" t="s">
        <v>1455</v>
      </c>
      <c r="G47" s="247"/>
    </row>
    <row r="48" spans="1:7" ht="11.1" customHeight="1" x14ac:dyDescent="0.2">
      <c r="A48" s="247"/>
      <c r="B48" s="281" t="s">
        <v>447</v>
      </c>
      <c r="C48" s="271" t="s">
        <v>465</v>
      </c>
      <c r="D48" s="272" t="s">
        <v>1456</v>
      </c>
      <c r="E48" s="271" t="s">
        <v>1457</v>
      </c>
      <c r="F48" s="282" t="s">
        <v>1457</v>
      </c>
      <c r="G48" s="247"/>
    </row>
    <row r="49" spans="1:7" ht="11.1" customHeight="1" x14ac:dyDescent="0.2">
      <c r="A49" s="247"/>
      <c r="B49" s="283" t="s">
        <v>393</v>
      </c>
      <c r="C49" s="262" t="s">
        <v>394</v>
      </c>
      <c r="D49" s="263" t="s">
        <v>797</v>
      </c>
      <c r="E49" s="262" t="s">
        <v>1458</v>
      </c>
      <c r="F49" s="284" t="s">
        <v>1459</v>
      </c>
      <c r="G49" s="247"/>
    </row>
    <row r="50" spans="1:7" ht="11.1" customHeight="1" x14ac:dyDescent="0.2">
      <c r="A50" s="247"/>
      <c r="B50" s="281" t="s">
        <v>393</v>
      </c>
      <c r="C50" s="271" t="s">
        <v>409</v>
      </c>
      <c r="D50" s="272" t="s">
        <v>1460</v>
      </c>
      <c r="E50" s="271" t="s">
        <v>1461</v>
      </c>
      <c r="F50" s="282" t="s">
        <v>1461</v>
      </c>
      <c r="G50" s="247"/>
    </row>
    <row r="51" spans="1:7" ht="11.1" customHeight="1" x14ac:dyDescent="0.2">
      <c r="A51" s="247"/>
      <c r="B51" s="283" t="s">
        <v>505</v>
      </c>
      <c r="C51" s="262" t="s">
        <v>511</v>
      </c>
      <c r="D51" s="263" t="s">
        <v>1462</v>
      </c>
      <c r="E51" s="262" t="s">
        <v>1463</v>
      </c>
      <c r="F51" s="284" t="s">
        <v>1463</v>
      </c>
      <c r="G51" s="247"/>
    </row>
    <row r="52" spans="1:7" ht="11.1" customHeight="1" x14ac:dyDescent="0.2">
      <c r="A52" s="247"/>
      <c r="B52" s="281" t="s">
        <v>447</v>
      </c>
      <c r="C52" s="271" t="s">
        <v>454</v>
      </c>
      <c r="D52" s="272" t="s">
        <v>1464</v>
      </c>
      <c r="E52" s="271" t="s">
        <v>1465</v>
      </c>
      <c r="F52" s="282" t="s">
        <v>1465</v>
      </c>
      <c r="G52" s="247"/>
    </row>
    <row r="53" spans="1:7" ht="11.1" customHeight="1" x14ac:dyDescent="0.2">
      <c r="A53" s="247"/>
      <c r="B53" s="283" t="s">
        <v>537</v>
      </c>
      <c r="C53" s="262" t="s">
        <v>540</v>
      </c>
      <c r="D53" s="263" t="s">
        <v>1466</v>
      </c>
      <c r="E53" s="262" t="s">
        <v>1467</v>
      </c>
      <c r="F53" s="284" t="s">
        <v>1467</v>
      </c>
      <c r="G53" s="247"/>
    </row>
    <row r="54" spans="1:7" ht="11.1" customHeight="1" x14ac:dyDescent="0.2">
      <c r="A54" s="247"/>
      <c r="B54" s="281" t="s">
        <v>447</v>
      </c>
      <c r="C54" s="271" t="s">
        <v>472</v>
      </c>
      <c r="D54" s="272" t="s">
        <v>1468</v>
      </c>
      <c r="E54" s="271" t="s">
        <v>1469</v>
      </c>
      <c r="F54" s="282" t="s">
        <v>1469</v>
      </c>
      <c r="G54" s="247"/>
    </row>
    <row r="55" spans="1:7" ht="11.1" customHeight="1" x14ac:dyDescent="0.2">
      <c r="A55" s="247"/>
      <c r="B55" s="283" t="s">
        <v>447</v>
      </c>
      <c r="C55" s="262" t="s">
        <v>475</v>
      </c>
      <c r="D55" s="263" t="s">
        <v>1470</v>
      </c>
      <c r="E55" s="262" t="s">
        <v>1471</v>
      </c>
      <c r="F55" s="284" t="s">
        <v>1471</v>
      </c>
      <c r="G55" s="247"/>
    </row>
    <row r="56" spans="1:7" ht="11.1" customHeight="1" x14ac:dyDescent="0.2">
      <c r="A56" s="247"/>
      <c r="B56" s="281" t="s">
        <v>447</v>
      </c>
      <c r="C56" s="271" t="s">
        <v>748</v>
      </c>
      <c r="D56" s="272" t="s">
        <v>778</v>
      </c>
      <c r="E56" s="271" t="s">
        <v>1472</v>
      </c>
      <c r="F56" s="282" t="s">
        <v>1473</v>
      </c>
      <c r="G56" s="247"/>
    </row>
    <row r="57" spans="1:7" ht="11.1" customHeight="1" x14ac:dyDescent="0.2">
      <c r="A57" s="247"/>
      <c r="B57" s="283" t="s">
        <v>557</v>
      </c>
      <c r="C57" s="262" t="s">
        <v>570</v>
      </c>
      <c r="D57" s="263" t="s">
        <v>1474</v>
      </c>
      <c r="E57" s="262" t="s">
        <v>1475</v>
      </c>
      <c r="F57" s="284" t="s">
        <v>1475</v>
      </c>
      <c r="G57" s="247"/>
    </row>
    <row r="58" spans="1:7" ht="11.1" customHeight="1" x14ac:dyDescent="0.2">
      <c r="A58" s="247"/>
      <c r="B58" s="281" t="s">
        <v>447</v>
      </c>
      <c r="C58" s="271" t="s">
        <v>478</v>
      </c>
      <c r="D58" s="272" t="s">
        <v>1476</v>
      </c>
      <c r="E58" s="271" t="s">
        <v>1477</v>
      </c>
      <c r="F58" s="282" t="s">
        <v>1477</v>
      </c>
      <c r="G58" s="247"/>
    </row>
    <row r="59" spans="1:7" ht="11.1" customHeight="1" x14ac:dyDescent="0.2">
      <c r="A59" s="247"/>
      <c r="B59" s="283" t="s">
        <v>447</v>
      </c>
      <c r="C59" s="262" t="s">
        <v>472</v>
      </c>
      <c r="D59" s="263" t="s">
        <v>1478</v>
      </c>
      <c r="E59" s="262" t="s">
        <v>1479</v>
      </c>
      <c r="F59" s="284" t="s">
        <v>1479</v>
      </c>
      <c r="G59" s="247"/>
    </row>
    <row r="60" spans="1:7" ht="11.1" customHeight="1" x14ac:dyDescent="0.2">
      <c r="A60" s="247"/>
      <c r="B60" s="281" t="s">
        <v>447</v>
      </c>
      <c r="C60" s="271" t="s">
        <v>475</v>
      </c>
      <c r="D60" s="272" t="s">
        <v>1480</v>
      </c>
      <c r="E60" s="271" t="s">
        <v>1481</v>
      </c>
      <c r="F60" s="282" t="s">
        <v>1481</v>
      </c>
      <c r="G60" s="247"/>
    </row>
    <row r="61" spans="1:7" ht="11.1" customHeight="1" x14ac:dyDescent="0.2">
      <c r="A61" s="247"/>
      <c r="B61" s="283" t="s">
        <v>557</v>
      </c>
      <c r="C61" s="262" t="s">
        <v>570</v>
      </c>
      <c r="D61" s="263" t="s">
        <v>1482</v>
      </c>
      <c r="E61" s="262" t="s">
        <v>1483</v>
      </c>
      <c r="F61" s="284" t="s">
        <v>1483</v>
      </c>
      <c r="G61" s="247"/>
    </row>
    <row r="62" spans="1:7" ht="11.1" customHeight="1" x14ac:dyDescent="0.2">
      <c r="A62" s="247"/>
      <c r="B62" s="281" t="s">
        <v>393</v>
      </c>
      <c r="C62" s="271" t="s">
        <v>394</v>
      </c>
      <c r="D62" s="272" t="s">
        <v>1484</v>
      </c>
      <c r="E62" s="271" t="s">
        <v>1485</v>
      </c>
      <c r="F62" s="282" t="s">
        <v>1486</v>
      </c>
      <c r="G62" s="247"/>
    </row>
    <row r="63" spans="1:7" ht="11.1" customHeight="1" x14ac:dyDescent="0.2">
      <c r="A63" s="247"/>
      <c r="B63" s="283" t="s">
        <v>447</v>
      </c>
      <c r="C63" s="262" t="s">
        <v>748</v>
      </c>
      <c r="D63" s="263" t="s">
        <v>1487</v>
      </c>
      <c r="E63" s="262" t="s">
        <v>1488</v>
      </c>
      <c r="F63" s="284" t="s">
        <v>1488</v>
      </c>
      <c r="G63" s="247"/>
    </row>
    <row r="64" spans="1:7" ht="11.1" customHeight="1" x14ac:dyDescent="0.2">
      <c r="A64" s="247"/>
      <c r="B64" s="281" t="s">
        <v>505</v>
      </c>
      <c r="C64" s="271" t="s">
        <v>511</v>
      </c>
      <c r="D64" s="272" t="s">
        <v>1489</v>
      </c>
      <c r="E64" s="271" t="s">
        <v>1490</v>
      </c>
      <c r="F64" s="282" t="s">
        <v>1490</v>
      </c>
      <c r="G64" s="247"/>
    </row>
    <row r="65" spans="1:7" ht="11.1" customHeight="1" x14ac:dyDescent="0.2">
      <c r="A65" s="247"/>
      <c r="B65" s="283" t="s">
        <v>447</v>
      </c>
      <c r="C65" s="262" t="s">
        <v>465</v>
      </c>
      <c r="D65" s="263" t="s">
        <v>1491</v>
      </c>
      <c r="E65" s="262" t="s">
        <v>1492</v>
      </c>
      <c r="F65" s="284" t="s">
        <v>1492</v>
      </c>
      <c r="G65" s="247"/>
    </row>
    <row r="66" spans="1:7" ht="11.1" customHeight="1" x14ac:dyDescent="0.2">
      <c r="A66" s="247"/>
      <c r="B66" s="281" t="s">
        <v>447</v>
      </c>
      <c r="C66" s="271" t="s">
        <v>459</v>
      </c>
      <c r="D66" s="272" t="s">
        <v>1493</v>
      </c>
      <c r="E66" s="271" t="s">
        <v>1494</v>
      </c>
      <c r="F66" s="282" t="s">
        <v>1494</v>
      </c>
      <c r="G66" s="247"/>
    </row>
    <row r="67" spans="1:7" ht="11.1" customHeight="1" x14ac:dyDescent="0.2">
      <c r="A67" s="247"/>
      <c r="B67" s="283" t="s">
        <v>432</v>
      </c>
      <c r="C67" s="262" t="s">
        <v>433</v>
      </c>
      <c r="D67" s="263" t="s">
        <v>1495</v>
      </c>
      <c r="E67" s="262" t="s">
        <v>1496</v>
      </c>
      <c r="F67" s="284" t="s">
        <v>1496</v>
      </c>
      <c r="G67" s="247"/>
    </row>
    <row r="68" spans="1:7" ht="11.1" customHeight="1" x14ac:dyDescent="0.2">
      <c r="A68" s="247"/>
      <c r="B68" s="281" t="s">
        <v>447</v>
      </c>
      <c r="C68" s="271" t="s">
        <v>451</v>
      </c>
      <c r="D68" s="272" t="s">
        <v>1497</v>
      </c>
      <c r="E68" s="271" t="s">
        <v>1498</v>
      </c>
      <c r="F68" s="282" t="s">
        <v>1498</v>
      </c>
      <c r="G68" s="247"/>
    </row>
    <row r="69" spans="1:7" ht="11.1" customHeight="1" x14ac:dyDescent="0.2">
      <c r="A69" s="247"/>
      <c r="B69" s="283" t="s">
        <v>447</v>
      </c>
      <c r="C69" s="262" t="s">
        <v>748</v>
      </c>
      <c r="D69" s="263" t="s">
        <v>1499</v>
      </c>
      <c r="E69" s="262" t="s">
        <v>1500</v>
      </c>
      <c r="F69" s="284" t="s">
        <v>1500</v>
      </c>
      <c r="G69" s="247"/>
    </row>
    <row r="70" spans="1:7" ht="11.1" customHeight="1" x14ac:dyDescent="0.2">
      <c r="A70" s="247"/>
      <c r="B70" s="281" t="s">
        <v>447</v>
      </c>
      <c r="C70" s="271" t="s">
        <v>475</v>
      </c>
      <c r="D70" s="272" t="s">
        <v>1501</v>
      </c>
      <c r="E70" s="271" t="s">
        <v>1502</v>
      </c>
      <c r="F70" s="282" t="s">
        <v>1502</v>
      </c>
      <c r="G70" s="247"/>
    </row>
    <row r="71" spans="1:7" ht="11.1" customHeight="1" x14ac:dyDescent="0.2">
      <c r="A71" s="247"/>
      <c r="B71" s="283" t="s">
        <v>432</v>
      </c>
      <c r="C71" s="262" t="s">
        <v>433</v>
      </c>
      <c r="D71" s="263" t="s">
        <v>1503</v>
      </c>
      <c r="E71" s="262" t="s">
        <v>1504</v>
      </c>
      <c r="F71" s="284" t="s">
        <v>1504</v>
      </c>
      <c r="G71" s="247"/>
    </row>
    <row r="72" spans="1:7" ht="11.1" customHeight="1" x14ac:dyDescent="0.2">
      <c r="A72" s="247"/>
      <c r="B72" s="281" t="s">
        <v>447</v>
      </c>
      <c r="C72" s="271" t="s">
        <v>470</v>
      </c>
      <c r="D72" s="272" t="s">
        <v>1505</v>
      </c>
      <c r="E72" s="271" t="s">
        <v>1506</v>
      </c>
      <c r="F72" s="282" t="s">
        <v>1506</v>
      </c>
      <c r="G72" s="247"/>
    </row>
    <row r="73" spans="1:7" ht="11.1" customHeight="1" x14ac:dyDescent="0.2">
      <c r="A73" s="247"/>
      <c r="B73" s="283" t="s">
        <v>609</v>
      </c>
      <c r="C73" s="262" t="s">
        <v>610</v>
      </c>
      <c r="D73" s="263" t="s">
        <v>1507</v>
      </c>
      <c r="E73" s="262" t="s">
        <v>1508</v>
      </c>
      <c r="F73" s="284" t="s">
        <v>1509</v>
      </c>
      <c r="G73" s="247"/>
    </row>
    <row r="74" spans="1:7" ht="11.1" customHeight="1" x14ac:dyDescent="0.2">
      <c r="A74" s="247"/>
      <c r="B74" s="281" t="s">
        <v>447</v>
      </c>
      <c r="C74" s="271" t="s">
        <v>454</v>
      </c>
      <c r="D74" s="272" t="s">
        <v>1510</v>
      </c>
      <c r="E74" s="271" t="s">
        <v>1511</v>
      </c>
      <c r="F74" s="282" t="s">
        <v>1511</v>
      </c>
      <c r="G74" s="247"/>
    </row>
    <row r="75" spans="1:7" ht="11.1" customHeight="1" x14ac:dyDescent="0.2">
      <c r="A75" s="247"/>
      <c r="B75" s="283" t="s">
        <v>422</v>
      </c>
      <c r="C75" s="262" t="s">
        <v>423</v>
      </c>
      <c r="D75" s="263" t="s">
        <v>1512</v>
      </c>
      <c r="E75" s="262" t="s">
        <v>1513</v>
      </c>
      <c r="F75" s="284" t="s">
        <v>1513</v>
      </c>
      <c r="G75" s="247"/>
    </row>
    <row r="76" spans="1:7" ht="11.1" customHeight="1" x14ac:dyDescent="0.2">
      <c r="A76" s="247"/>
      <c r="B76" s="281" t="s">
        <v>609</v>
      </c>
      <c r="C76" s="271" t="s">
        <v>670</v>
      </c>
      <c r="D76" s="272" t="s">
        <v>767</v>
      </c>
      <c r="E76" s="271" t="s">
        <v>1514</v>
      </c>
      <c r="F76" s="282" t="s">
        <v>1515</v>
      </c>
      <c r="G76" s="247"/>
    </row>
    <row r="77" spans="1:7" ht="11.1" customHeight="1" x14ac:dyDescent="0.2">
      <c r="A77" s="247"/>
      <c r="B77" s="283" t="s">
        <v>505</v>
      </c>
      <c r="C77" s="262" t="s">
        <v>511</v>
      </c>
      <c r="D77" s="263" t="s">
        <v>1516</v>
      </c>
      <c r="E77" s="262" t="s">
        <v>1517</v>
      </c>
      <c r="F77" s="284" t="s">
        <v>1517</v>
      </c>
      <c r="G77" s="247"/>
    </row>
    <row r="78" spans="1:7" ht="11.1" customHeight="1" x14ac:dyDescent="0.2">
      <c r="A78" s="247"/>
      <c r="B78" s="281" t="s">
        <v>432</v>
      </c>
      <c r="C78" s="271" t="s">
        <v>433</v>
      </c>
      <c r="D78" s="272" t="s">
        <v>1518</v>
      </c>
      <c r="E78" s="271" t="s">
        <v>1519</v>
      </c>
      <c r="F78" s="282" t="s">
        <v>1519</v>
      </c>
      <c r="G78" s="247"/>
    </row>
    <row r="79" spans="1:7" ht="11.1" customHeight="1" x14ac:dyDescent="0.2">
      <c r="A79" s="247"/>
      <c r="B79" s="283" t="s">
        <v>447</v>
      </c>
      <c r="C79" s="262" t="s">
        <v>500</v>
      </c>
      <c r="D79" s="263" t="s">
        <v>1520</v>
      </c>
      <c r="E79" s="262" t="s">
        <v>1521</v>
      </c>
      <c r="F79" s="284" t="s">
        <v>1521</v>
      </c>
      <c r="G79" s="247"/>
    </row>
    <row r="80" spans="1:7" ht="11.1" customHeight="1" x14ac:dyDescent="0.2">
      <c r="A80" s="247"/>
      <c r="B80" s="281" t="s">
        <v>447</v>
      </c>
      <c r="C80" s="271" t="s">
        <v>465</v>
      </c>
      <c r="D80" s="272" t="s">
        <v>1522</v>
      </c>
      <c r="E80" s="271" t="s">
        <v>1523</v>
      </c>
      <c r="F80" s="282" t="s">
        <v>1523</v>
      </c>
      <c r="G80" s="247"/>
    </row>
    <row r="81" spans="1:7" ht="11.1" customHeight="1" x14ac:dyDescent="0.2">
      <c r="A81" s="247"/>
      <c r="B81" s="283" t="s">
        <v>609</v>
      </c>
      <c r="C81" s="262" t="s">
        <v>670</v>
      </c>
      <c r="D81" s="263" t="s">
        <v>771</v>
      </c>
      <c r="E81" s="262" t="s">
        <v>1524</v>
      </c>
      <c r="F81" s="284" t="s">
        <v>1525</v>
      </c>
      <c r="G81" s="247"/>
    </row>
    <row r="82" spans="1:7" ht="11.1" customHeight="1" x14ac:dyDescent="0.2">
      <c r="A82" s="247"/>
      <c r="B82" s="281" t="s">
        <v>447</v>
      </c>
      <c r="C82" s="271" t="s">
        <v>1526</v>
      </c>
      <c r="D82" s="272" t="s">
        <v>1527</v>
      </c>
      <c r="E82" s="271" t="s">
        <v>1528</v>
      </c>
      <c r="F82" s="282" t="s">
        <v>1528</v>
      </c>
      <c r="G82" s="247"/>
    </row>
    <row r="83" spans="1:7" ht="11.1" customHeight="1" x14ac:dyDescent="0.2">
      <c r="A83" s="247"/>
      <c r="B83" s="283" t="s">
        <v>393</v>
      </c>
      <c r="C83" s="262" t="s">
        <v>406</v>
      </c>
      <c r="D83" s="263" t="s">
        <v>1529</v>
      </c>
      <c r="E83" s="262" t="s">
        <v>1530</v>
      </c>
      <c r="F83" s="284" t="s">
        <v>1530</v>
      </c>
      <c r="G83" s="247"/>
    </row>
    <row r="84" spans="1:7" ht="11.1" customHeight="1" x14ac:dyDescent="0.2">
      <c r="A84" s="247"/>
      <c r="B84" s="281" t="s">
        <v>393</v>
      </c>
      <c r="C84" s="271" t="s">
        <v>394</v>
      </c>
      <c r="D84" s="272" t="s">
        <v>1531</v>
      </c>
      <c r="E84" s="271" t="s">
        <v>1532</v>
      </c>
      <c r="F84" s="282" t="s">
        <v>1532</v>
      </c>
      <c r="G84" s="247"/>
    </row>
    <row r="85" spans="1:7" ht="11.1" customHeight="1" x14ac:dyDescent="0.2">
      <c r="A85" s="247"/>
      <c r="B85" s="283" t="s">
        <v>505</v>
      </c>
      <c r="C85" s="262" t="s">
        <v>511</v>
      </c>
      <c r="D85" s="263" t="s">
        <v>1533</v>
      </c>
      <c r="E85" s="262" t="s">
        <v>1534</v>
      </c>
      <c r="F85" s="284" t="s">
        <v>1534</v>
      </c>
      <c r="G85" s="247"/>
    </row>
    <row r="86" spans="1:7" ht="11.1" customHeight="1" x14ac:dyDescent="0.2">
      <c r="A86" s="247"/>
      <c r="B86" s="281" t="s">
        <v>447</v>
      </c>
      <c r="C86" s="271" t="s">
        <v>478</v>
      </c>
      <c r="D86" s="272" t="s">
        <v>1535</v>
      </c>
      <c r="E86" s="271" t="s">
        <v>1536</v>
      </c>
      <c r="F86" s="282" t="s">
        <v>1536</v>
      </c>
      <c r="G86" s="247"/>
    </row>
    <row r="87" spans="1:7" ht="11.1" customHeight="1" x14ac:dyDescent="0.2">
      <c r="A87" s="247"/>
      <c r="B87" s="283" t="s">
        <v>393</v>
      </c>
      <c r="C87" s="262" t="s">
        <v>406</v>
      </c>
      <c r="D87" s="263" t="s">
        <v>1537</v>
      </c>
      <c r="E87" s="262" t="s">
        <v>1538</v>
      </c>
      <c r="F87" s="284" t="s">
        <v>1538</v>
      </c>
      <c r="G87" s="247"/>
    </row>
    <row r="88" spans="1:7" ht="11.1" customHeight="1" x14ac:dyDescent="0.2">
      <c r="A88" s="247"/>
      <c r="B88" s="281" t="s">
        <v>537</v>
      </c>
      <c r="C88" s="271" t="s">
        <v>543</v>
      </c>
      <c r="D88" s="272" t="s">
        <v>1539</v>
      </c>
      <c r="E88" s="271" t="s">
        <v>1540</v>
      </c>
      <c r="F88" s="282" t="s">
        <v>1540</v>
      </c>
      <c r="G88" s="247"/>
    </row>
    <row r="89" spans="1:7" ht="11.1" customHeight="1" x14ac:dyDescent="0.2">
      <c r="A89" s="247"/>
      <c r="B89" s="283" t="s">
        <v>537</v>
      </c>
      <c r="C89" s="262" t="s">
        <v>543</v>
      </c>
      <c r="D89" s="263" t="s">
        <v>1541</v>
      </c>
      <c r="E89" s="262" t="s">
        <v>1542</v>
      </c>
      <c r="F89" s="284" t="s">
        <v>1542</v>
      </c>
      <c r="G89" s="247"/>
    </row>
    <row r="90" spans="1:7" ht="11.1" customHeight="1" x14ac:dyDescent="0.2">
      <c r="A90" s="247"/>
      <c r="B90" s="281" t="s">
        <v>537</v>
      </c>
      <c r="C90" s="271" t="s">
        <v>543</v>
      </c>
      <c r="D90" s="272" t="s">
        <v>1543</v>
      </c>
      <c r="E90" s="271" t="s">
        <v>1544</v>
      </c>
      <c r="F90" s="282" t="s">
        <v>1545</v>
      </c>
      <c r="G90" s="247"/>
    </row>
    <row r="91" spans="1:7" ht="11.1" customHeight="1" x14ac:dyDescent="0.2">
      <c r="A91" s="247"/>
      <c r="B91" s="283" t="s">
        <v>447</v>
      </c>
      <c r="C91" s="262" t="s">
        <v>459</v>
      </c>
      <c r="D91" s="263" t="s">
        <v>1546</v>
      </c>
      <c r="E91" s="262" t="s">
        <v>1547</v>
      </c>
      <c r="F91" s="284" t="s">
        <v>1547</v>
      </c>
      <c r="G91" s="247"/>
    </row>
    <row r="92" spans="1:7" ht="11.1" customHeight="1" x14ac:dyDescent="0.2">
      <c r="A92" s="247"/>
      <c r="B92" s="281" t="s">
        <v>447</v>
      </c>
      <c r="C92" s="271" t="s">
        <v>462</v>
      </c>
      <c r="D92" s="272" t="s">
        <v>1548</v>
      </c>
      <c r="E92" s="271" t="s">
        <v>1549</v>
      </c>
      <c r="F92" s="282" t="s">
        <v>1549</v>
      </c>
      <c r="G92" s="247"/>
    </row>
    <row r="93" spans="1:7" ht="11.1" customHeight="1" x14ac:dyDescent="0.2">
      <c r="A93" s="247"/>
      <c r="B93" s="283" t="s">
        <v>447</v>
      </c>
      <c r="C93" s="262" t="s">
        <v>478</v>
      </c>
      <c r="D93" s="263" t="s">
        <v>814</v>
      </c>
      <c r="E93" s="262" t="s">
        <v>1550</v>
      </c>
      <c r="F93" s="284" t="s">
        <v>1551</v>
      </c>
      <c r="G93" s="247"/>
    </row>
    <row r="94" spans="1:7" ht="11.1" customHeight="1" x14ac:dyDescent="0.2">
      <c r="A94" s="247"/>
      <c r="B94" s="281" t="s">
        <v>447</v>
      </c>
      <c r="C94" s="271" t="s">
        <v>748</v>
      </c>
      <c r="D94" s="272" t="s">
        <v>1552</v>
      </c>
      <c r="E94" s="271" t="s">
        <v>1553</v>
      </c>
      <c r="F94" s="282" t="s">
        <v>1553</v>
      </c>
      <c r="G94" s="247"/>
    </row>
    <row r="95" spans="1:7" ht="11.1" customHeight="1" x14ac:dyDescent="0.2">
      <c r="A95" s="247"/>
      <c r="B95" s="283" t="s">
        <v>447</v>
      </c>
      <c r="C95" s="262" t="s">
        <v>459</v>
      </c>
      <c r="D95" s="263" t="s">
        <v>1554</v>
      </c>
      <c r="E95" s="262" t="s">
        <v>1555</v>
      </c>
      <c r="F95" s="284" t="s">
        <v>1555</v>
      </c>
      <c r="G95" s="247"/>
    </row>
    <row r="96" spans="1:7" ht="11.1" customHeight="1" x14ac:dyDescent="0.2">
      <c r="A96" s="247"/>
      <c r="B96" s="281" t="s">
        <v>447</v>
      </c>
      <c r="C96" s="271" t="s">
        <v>1556</v>
      </c>
      <c r="D96" s="272" t="s">
        <v>1557</v>
      </c>
      <c r="E96" s="271" t="s">
        <v>1558</v>
      </c>
      <c r="F96" s="282" t="s">
        <v>1558</v>
      </c>
      <c r="G96" s="247"/>
    </row>
    <row r="97" spans="1:7" ht="11.1" customHeight="1" x14ac:dyDescent="0.2">
      <c r="A97" s="247"/>
      <c r="B97" s="283" t="s">
        <v>447</v>
      </c>
      <c r="C97" s="262" t="s">
        <v>465</v>
      </c>
      <c r="D97" s="263" t="s">
        <v>1559</v>
      </c>
      <c r="E97" s="262" t="s">
        <v>1560</v>
      </c>
      <c r="F97" s="284" t="s">
        <v>1560</v>
      </c>
      <c r="G97" s="247"/>
    </row>
    <row r="98" spans="1:7" ht="11.1" customHeight="1" x14ac:dyDescent="0.2">
      <c r="A98" s="247"/>
      <c r="B98" s="281" t="s">
        <v>393</v>
      </c>
      <c r="C98" s="271" t="s">
        <v>394</v>
      </c>
      <c r="D98" s="272" t="s">
        <v>815</v>
      </c>
      <c r="E98" s="271" t="s">
        <v>1561</v>
      </c>
      <c r="F98" s="282" t="s">
        <v>1562</v>
      </c>
      <c r="G98" s="247"/>
    </row>
    <row r="99" spans="1:7" ht="11.1" customHeight="1" x14ac:dyDescent="0.2">
      <c r="A99" s="247"/>
      <c r="B99" s="283" t="s">
        <v>447</v>
      </c>
      <c r="C99" s="262" t="s">
        <v>459</v>
      </c>
      <c r="D99" s="263" t="s">
        <v>1563</v>
      </c>
      <c r="E99" s="262" t="s">
        <v>1564</v>
      </c>
      <c r="F99" s="284" t="s">
        <v>1565</v>
      </c>
      <c r="G99" s="247"/>
    </row>
    <row r="100" spans="1:7" ht="11.1" customHeight="1" x14ac:dyDescent="0.2">
      <c r="A100" s="247"/>
      <c r="B100" s="281" t="s">
        <v>447</v>
      </c>
      <c r="C100" s="271" t="s">
        <v>451</v>
      </c>
      <c r="D100" s="272" t="s">
        <v>1566</v>
      </c>
      <c r="E100" s="271" t="s">
        <v>1567</v>
      </c>
      <c r="F100" s="282" t="s">
        <v>1567</v>
      </c>
      <c r="G100" s="247"/>
    </row>
    <row r="101" spans="1:7" ht="11.1" customHeight="1" x14ac:dyDescent="0.2">
      <c r="A101" s="247"/>
      <c r="B101" s="283" t="s">
        <v>447</v>
      </c>
      <c r="C101" s="262" t="s">
        <v>748</v>
      </c>
      <c r="D101" s="263" t="s">
        <v>1568</v>
      </c>
      <c r="E101" s="262" t="s">
        <v>1569</v>
      </c>
      <c r="F101" s="284" t="s">
        <v>1569</v>
      </c>
      <c r="G101" s="247"/>
    </row>
    <row r="102" spans="1:7" ht="11.1" customHeight="1" x14ac:dyDescent="0.2">
      <c r="A102" s="247"/>
      <c r="B102" s="281" t="s">
        <v>393</v>
      </c>
      <c r="C102" s="271" t="s">
        <v>416</v>
      </c>
      <c r="D102" s="272" t="s">
        <v>1570</v>
      </c>
      <c r="E102" s="271" t="s">
        <v>1571</v>
      </c>
      <c r="F102" s="282" t="s">
        <v>1571</v>
      </c>
      <c r="G102" s="247"/>
    </row>
    <row r="103" spans="1:7" ht="11.1" customHeight="1" x14ac:dyDescent="0.2">
      <c r="A103" s="247"/>
      <c r="B103" s="283" t="s">
        <v>447</v>
      </c>
      <c r="C103" s="262" t="s">
        <v>748</v>
      </c>
      <c r="D103" s="263" t="s">
        <v>1572</v>
      </c>
      <c r="E103" s="262" t="s">
        <v>1573</v>
      </c>
      <c r="F103" s="284" t="s">
        <v>1573</v>
      </c>
      <c r="G103" s="247"/>
    </row>
    <row r="104" spans="1:7" ht="11.1" customHeight="1" x14ac:dyDescent="0.2">
      <c r="A104" s="247"/>
      <c r="B104" s="281" t="s">
        <v>393</v>
      </c>
      <c r="C104" s="271" t="s">
        <v>409</v>
      </c>
      <c r="D104" s="272" t="s">
        <v>1574</v>
      </c>
      <c r="E104" s="271" t="s">
        <v>1575</v>
      </c>
      <c r="F104" s="282" t="s">
        <v>1575</v>
      </c>
      <c r="G104" s="247"/>
    </row>
    <row r="105" spans="1:7" ht="11.1" customHeight="1" x14ac:dyDescent="0.2">
      <c r="A105" s="247"/>
      <c r="B105" s="283" t="s">
        <v>609</v>
      </c>
      <c r="C105" s="262" t="s">
        <v>670</v>
      </c>
      <c r="D105" s="263" t="s">
        <v>780</v>
      </c>
      <c r="E105" s="262" t="s">
        <v>1514</v>
      </c>
      <c r="F105" s="284" t="s">
        <v>1515</v>
      </c>
      <c r="G105" s="247"/>
    </row>
    <row r="106" spans="1:7" ht="11.1" customHeight="1" x14ac:dyDescent="0.2">
      <c r="A106" s="247"/>
      <c r="B106" s="281" t="s">
        <v>393</v>
      </c>
      <c r="C106" s="271" t="s">
        <v>406</v>
      </c>
      <c r="D106" s="272" t="s">
        <v>1576</v>
      </c>
      <c r="E106" s="271" t="s">
        <v>1577</v>
      </c>
      <c r="F106" s="282" t="s">
        <v>1577</v>
      </c>
      <c r="G106" s="247"/>
    </row>
    <row r="107" spans="1:7" ht="11.1" customHeight="1" x14ac:dyDescent="0.2">
      <c r="A107" s="247"/>
      <c r="B107" s="283" t="s">
        <v>447</v>
      </c>
      <c r="C107" s="262" t="s">
        <v>465</v>
      </c>
      <c r="D107" s="263" t="s">
        <v>1578</v>
      </c>
      <c r="E107" s="262" t="s">
        <v>1579</v>
      </c>
      <c r="F107" s="284" t="s">
        <v>1579</v>
      </c>
      <c r="G107" s="247"/>
    </row>
    <row r="108" spans="1:7" ht="11.1" customHeight="1" x14ac:dyDescent="0.2">
      <c r="A108" s="247"/>
      <c r="B108" s="281" t="s">
        <v>393</v>
      </c>
      <c r="C108" s="271" t="s">
        <v>394</v>
      </c>
      <c r="D108" s="272" t="s">
        <v>1580</v>
      </c>
      <c r="E108" s="271" t="s">
        <v>1581</v>
      </c>
      <c r="F108" s="282" t="s">
        <v>1581</v>
      </c>
      <c r="G108" s="247"/>
    </row>
    <row r="109" spans="1:7" ht="11.1" customHeight="1" x14ac:dyDescent="0.2">
      <c r="A109" s="247"/>
      <c r="B109" s="283" t="s">
        <v>537</v>
      </c>
      <c r="C109" s="262" t="s">
        <v>543</v>
      </c>
      <c r="D109" s="263" t="s">
        <v>1582</v>
      </c>
      <c r="E109" s="262" t="s">
        <v>1583</v>
      </c>
      <c r="F109" s="284" t="s">
        <v>1583</v>
      </c>
      <c r="G109" s="247"/>
    </row>
    <row r="110" spans="1:7" ht="11.1" customHeight="1" x14ac:dyDescent="0.2">
      <c r="A110" s="247"/>
      <c r="B110" s="281" t="s">
        <v>447</v>
      </c>
      <c r="C110" s="271" t="s">
        <v>470</v>
      </c>
      <c r="D110" s="272" t="s">
        <v>1584</v>
      </c>
      <c r="E110" s="271" t="s">
        <v>1585</v>
      </c>
      <c r="F110" s="282" t="s">
        <v>1585</v>
      </c>
      <c r="G110" s="247"/>
    </row>
    <row r="111" spans="1:7" ht="11.1" customHeight="1" x14ac:dyDescent="0.2">
      <c r="A111" s="247"/>
      <c r="B111" s="283" t="s">
        <v>447</v>
      </c>
      <c r="C111" s="262" t="s">
        <v>462</v>
      </c>
      <c r="D111" s="263" t="s">
        <v>1586</v>
      </c>
      <c r="E111" s="262" t="s">
        <v>1587</v>
      </c>
      <c r="F111" s="284" t="s">
        <v>1588</v>
      </c>
      <c r="G111" s="247"/>
    </row>
    <row r="112" spans="1:7" ht="11.1" customHeight="1" x14ac:dyDescent="0.2">
      <c r="A112" s="247"/>
      <c r="B112" s="281" t="s">
        <v>609</v>
      </c>
      <c r="C112" s="271" t="s">
        <v>610</v>
      </c>
      <c r="D112" s="272" t="s">
        <v>789</v>
      </c>
      <c r="E112" s="271" t="s">
        <v>1589</v>
      </c>
      <c r="F112" s="282" t="s">
        <v>1589</v>
      </c>
      <c r="G112" s="247"/>
    </row>
    <row r="113" spans="1:7" ht="11.1" customHeight="1" x14ac:dyDescent="0.2">
      <c r="A113" s="247"/>
      <c r="B113" s="283" t="s">
        <v>537</v>
      </c>
      <c r="C113" s="262" t="s">
        <v>543</v>
      </c>
      <c r="D113" s="263" t="s">
        <v>1590</v>
      </c>
      <c r="E113" s="262" t="s">
        <v>1591</v>
      </c>
      <c r="F113" s="284" t="s">
        <v>1591</v>
      </c>
      <c r="G113" s="247"/>
    </row>
    <row r="114" spans="1:7" ht="11.1" customHeight="1" x14ac:dyDescent="0.2">
      <c r="A114" s="247"/>
      <c r="B114" s="281" t="s">
        <v>537</v>
      </c>
      <c r="C114" s="271" t="s">
        <v>543</v>
      </c>
      <c r="D114" s="272" t="s">
        <v>1592</v>
      </c>
      <c r="E114" s="271" t="s">
        <v>1593</v>
      </c>
      <c r="F114" s="282" t="s">
        <v>1593</v>
      </c>
      <c r="G114" s="247"/>
    </row>
    <row r="115" spans="1:7" ht="11.1" customHeight="1" x14ac:dyDescent="0.2">
      <c r="A115" s="247"/>
      <c r="B115" s="283" t="s">
        <v>393</v>
      </c>
      <c r="C115" s="262" t="s">
        <v>394</v>
      </c>
      <c r="D115" s="263" t="s">
        <v>1594</v>
      </c>
      <c r="E115" s="262" t="s">
        <v>1595</v>
      </c>
      <c r="F115" s="284" t="s">
        <v>1595</v>
      </c>
      <c r="G115" s="247"/>
    </row>
    <row r="116" spans="1:7" ht="11.1" customHeight="1" x14ac:dyDescent="0.2">
      <c r="A116" s="247"/>
      <c r="B116" s="281" t="s">
        <v>432</v>
      </c>
      <c r="C116" s="271" t="s">
        <v>437</v>
      </c>
      <c r="D116" s="272" t="s">
        <v>1596</v>
      </c>
      <c r="E116" s="271" t="s">
        <v>1597</v>
      </c>
      <c r="F116" s="282" t="s">
        <v>1597</v>
      </c>
      <c r="G116" s="247"/>
    </row>
    <row r="117" spans="1:7" ht="11.1" customHeight="1" x14ac:dyDescent="0.2">
      <c r="A117" s="247"/>
      <c r="B117" s="283" t="s">
        <v>505</v>
      </c>
      <c r="C117" s="262" t="s">
        <v>511</v>
      </c>
      <c r="D117" s="263" t="s">
        <v>1598</v>
      </c>
      <c r="E117" s="262" t="s">
        <v>1599</v>
      </c>
      <c r="F117" s="284" t="s">
        <v>1599</v>
      </c>
      <c r="G117" s="247"/>
    </row>
    <row r="118" spans="1:7" ht="11.1" customHeight="1" x14ac:dyDescent="0.2">
      <c r="A118" s="247"/>
      <c r="B118" s="281" t="s">
        <v>447</v>
      </c>
      <c r="C118" s="271" t="s">
        <v>500</v>
      </c>
      <c r="D118" s="272" t="s">
        <v>1600</v>
      </c>
      <c r="E118" s="271" t="s">
        <v>1601</v>
      </c>
      <c r="F118" s="282" t="s">
        <v>1601</v>
      </c>
      <c r="G118" s="247"/>
    </row>
    <row r="119" spans="1:7" ht="11.1" customHeight="1" x14ac:dyDescent="0.2">
      <c r="A119" s="247"/>
      <c r="B119" s="283" t="s">
        <v>447</v>
      </c>
      <c r="C119" s="262" t="s">
        <v>478</v>
      </c>
      <c r="D119" s="263" t="s">
        <v>1602</v>
      </c>
      <c r="E119" s="262" t="s">
        <v>1603</v>
      </c>
      <c r="F119" s="284" t="s">
        <v>1603</v>
      </c>
      <c r="G119" s="247"/>
    </row>
    <row r="120" spans="1:7" ht="11.1" customHeight="1" x14ac:dyDescent="0.2">
      <c r="A120" s="247"/>
      <c r="B120" s="281" t="s">
        <v>447</v>
      </c>
      <c r="C120" s="271" t="s">
        <v>478</v>
      </c>
      <c r="D120" s="272" t="s">
        <v>1604</v>
      </c>
      <c r="E120" s="271" t="s">
        <v>1605</v>
      </c>
      <c r="F120" s="282" t="s">
        <v>1605</v>
      </c>
      <c r="G120" s="247"/>
    </row>
    <row r="121" spans="1:7" ht="11.1" customHeight="1" x14ac:dyDescent="0.2">
      <c r="A121" s="247"/>
      <c r="B121" s="283" t="s">
        <v>447</v>
      </c>
      <c r="C121" s="262" t="s">
        <v>478</v>
      </c>
      <c r="D121" s="263" t="s">
        <v>1606</v>
      </c>
      <c r="E121" s="262" t="s">
        <v>1607</v>
      </c>
      <c r="F121" s="284" t="s">
        <v>1607</v>
      </c>
      <c r="G121" s="247"/>
    </row>
    <row r="122" spans="1:7" ht="11.1" customHeight="1" x14ac:dyDescent="0.2">
      <c r="A122" s="247"/>
      <c r="B122" s="281" t="s">
        <v>393</v>
      </c>
      <c r="C122" s="271" t="s">
        <v>394</v>
      </c>
      <c r="D122" s="272" t="s">
        <v>1608</v>
      </c>
      <c r="E122" s="271" t="s">
        <v>1609</v>
      </c>
      <c r="F122" s="282" t="s">
        <v>1609</v>
      </c>
      <c r="G122" s="247"/>
    </row>
    <row r="123" spans="1:7" ht="11.1" customHeight="1" x14ac:dyDescent="0.2">
      <c r="A123" s="247"/>
      <c r="B123" s="283" t="s">
        <v>447</v>
      </c>
      <c r="C123" s="262" t="s">
        <v>1610</v>
      </c>
      <c r="D123" s="263" t="s">
        <v>1611</v>
      </c>
      <c r="E123" s="262" t="s">
        <v>1612</v>
      </c>
      <c r="F123" s="284" t="s">
        <v>1612</v>
      </c>
      <c r="G123" s="247"/>
    </row>
    <row r="124" spans="1:7" ht="11.1" customHeight="1" x14ac:dyDescent="0.2">
      <c r="A124" s="247"/>
      <c r="B124" s="281" t="s">
        <v>447</v>
      </c>
      <c r="C124" s="271" t="s">
        <v>478</v>
      </c>
      <c r="D124" s="272" t="s">
        <v>1613</v>
      </c>
      <c r="E124" s="271" t="s">
        <v>1614</v>
      </c>
      <c r="F124" s="282" t="s">
        <v>1614</v>
      </c>
      <c r="G124" s="247"/>
    </row>
    <row r="125" spans="1:7" ht="11.1" customHeight="1" x14ac:dyDescent="0.2">
      <c r="A125" s="247"/>
      <c r="B125" s="283" t="s">
        <v>393</v>
      </c>
      <c r="C125" s="262" t="s">
        <v>406</v>
      </c>
      <c r="D125" s="263" t="s">
        <v>1615</v>
      </c>
      <c r="E125" s="262" t="s">
        <v>1616</v>
      </c>
      <c r="F125" s="284" t="s">
        <v>1616</v>
      </c>
      <c r="G125" s="247"/>
    </row>
    <row r="126" spans="1:7" ht="11.1" customHeight="1" x14ac:dyDescent="0.2">
      <c r="A126" s="247"/>
      <c r="B126" s="281" t="s">
        <v>447</v>
      </c>
      <c r="C126" s="271" t="s">
        <v>459</v>
      </c>
      <c r="D126" s="272" t="s">
        <v>1617</v>
      </c>
      <c r="E126" s="271" t="s">
        <v>1618</v>
      </c>
      <c r="F126" s="282" t="s">
        <v>1618</v>
      </c>
      <c r="G126" s="247"/>
    </row>
    <row r="127" spans="1:7" ht="11.1" customHeight="1" x14ac:dyDescent="0.2">
      <c r="A127" s="247"/>
      <c r="B127" s="283" t="s">
        <v>447</v>
      </c>
      <c r="C127" s="262" t="s">
        <v>475</v>
      </c>
      <c r="D127" s="263" t="s">
        <v>1619</v>
      </c>
      <c r="E127" s="262" t="s">
        <v>1620</v>
      </c>
      <c r="F127" s="284" t="s">
        <v>1620</v>
      </c>
      <c r="G127" s="247"/>
    </row>
    <row r="128" spans="1:7" ht="11.1" customHeight="1" x14ac:dyDescent="0.2">
      <c r="A128" s="247"/>
      <c r="B128" s="281" t="s">
        <v>447</v>
      </c>
      <c r="C128" s="271" t="s">
        <v>748</v>
      </c>
      <c r="D128" s="272" t="s">
        <v>1621</v>
      </c>
      <c r="E128" s="271" t="s">
        <v>1622</v>
      </c>
      <c r="F128" s="282" t="s">
        <v>1622</v>
      </c>
      <c r="G128" s="247"/>
    </row>
    <row r="129" spans="1:8" ht="11.1" customHeight="1" x14ac:dyDescent="0.2">
      <c r="A129" s="247"/>
      <c r="B129" s="283" t="s">
        <v>537</v>
      </c>
      <c r="C129" s="262" t="s">
        <v>543</v>
      </c>
      <c r="D129" s="263" t="s">
        <v>1623</v>
      </c>
      <c r="E129" s="262" t="s">
        <v>1624</v>
      </c>
      <c r="F129" s="284" t="s">
        <v>1624</v>
      </c>
      <c r="G129" s="247"/>
      <c r="H129" s="258"/>
    </row>
    <row r="130" spans="1:8" ht="11.1" customHeight="1" x14ac:dyDescent="0.2">
      <c r="A130" s="247"/>
      <c r="B130" s="281" t="s">
        <v>393</v>
      </c>
      <c r="C130" s="271" t="s">
        <v>394</v>
      </c>
      <c r="D130" s="272" t="s">
        <v>1625</v>
      </c>
      <c r="E130" s="271" t="s">
        <v>1626</v>
      </c>
      <c r="F130" s="282" t="s">
        <v>1626</v>
      </c>
      <c r="G130" s="247"/>
      <c r="H130" s="258"/>
    </row>
    <row r="131" spans="1:8" ht="11.1" customHeight="1" x14ac:dyDescent="0.2">
      <c r="A131" s="247"/>
      <c r="B131" s="283" t="s">
        <v>447</v>
      </c>
      <c r="C131" s="262" t="s">
        <v>478</v>
      </c>
      <c r="D131" s="263" t="s">
        <v>1627</v>
      </c>
      <c r="E131" s="262" t="s">
        <v>1628</v>
      </c>
      <c r="F131" s="284" t="s">
        <v>1628</v>
      </c>
      <c r="G131" s="247"/>
      <c r="H131" s="258"/>
    </row>
    <row r="132" spans="1:8" ht="11.1" customHeight="1" x14ac:dyDescent="0.2">
      <c r="A132" s="247"/>
      <c r="B132" s="281" t="s">
        <v>447</v>
      </c>
      <c r="C132" s="271" t="s">
        <v>475</v>
      </c>
      <c r="D132" s="272" t="s">
        <v>1629</v>
      </c>
      <c r="E132" s="271" t="s">
        <v>1630</v>
      </c>
      <c r="F132" s="282" t="s">
        <v>1630</v>
      </c>
      <c r="G132" s="247"/>
      <c r="H132" s="258"/>
    </row>
    <row r="133" spans="1:8" ht="11.1" customHeight="1" x14ac:dyDescent="0.2">
      <c r="A133" s="247"/>
      <c r="B133" s="283" t="s">
        <v>447</v>
      </c>
      <c r="C133" s="262" t="s">
        <v>462</v>
      </c>
      <c r="D133" s="263" t="s">
        <v>1631</v>
      </c>
      <c r="E133" s="262" t="s">
        <v>1632</v>
      </c>
      <c r="F133" s="284" t="s">
        <v>1632</v>
      </c>
      <c r="G133" s="247"/>
      <c r="H133" s="258"/>
    </row>
    <row r="134" spans="1:8" ht="11.1" customHeight="1" x14ac:dyDescent="0.2">
      <c r="A134" s="247"/>
      <c r="B134" s="281" t="s">
        <v>422</v>
      </c>
      <c r="C134" s="271" t="s">
        <v>423</v>
      </c>
      <c r="D134" s="272" t="s">
        <v>1633</v>
      </c>
      <c r="E134" s="271" t="s">
        <v>1634</v>
      </c>
      <c r="F134" s="282" t="s">
        <v>1634</v>
      </c>
      <c r="G134" s="247"/>
      <c r="H134" s="258"/>
    </row>
    <row r="135" spans="1:8" ht="11.1" customHeight="1" x14ac:dyDescent="0.2">
      <c r="A135" s="247"/>
      <c r="B135" s="283" t="s">
        <v>447</v>
      </c>
      <c r="C135" s="262" t="s">
        <v>465</v>
      </c>
      <c r="D135" s="263" t="s">
        <v>1635</v>
      </c>
      <c r="E135" s="262" t="s">
        <v>1636</v>
      </c>
      <c r="F135" s="284" t="s">
        <v>1636</v>
      </c>
      <c r="G135" s="247"/>
      <c r="H135" s="258"/>
    </row>
    <row r="136" spans="1:8" ht="11.1" customHeight="1" x14ac:dyDescent="0.2">
      <c r="A136" s="247"/>
      <c r="B136" s="281" t="s">
        <v>505</v>
      </c>
      <c r="C136" s="271" t="s">
        <v>511</v>
      </c>
      <c r="D136" s="272" t="s">
        <v>1637</v>
      </c>
      <c r="E136" s="271" t="s">
        <v>1638</v>
      </c>
      <c r="F136" s="282" t="s">
        <v>1638</v>
      </c>
      <c r="G136" s="247"/>
      <c r="H136" s="258"/>
    </row>
    <row r="137" spans="1:8" ht="11.1" customHeight="1" x14ac:dyDescent="0.2">
      <c r="A137" s="247"/>
      <c r="B137" s="283" t="s">
        <v>537</v>
      </c>
      <c r="C137" s="262" t="s">
        <v>543</v>
      </c>
      <c r="D137" s="263" t="s">
        <v>1639</v>
      </c>
      <c r="E137" s="262" t="s">
        <v>1640</v>
      </c>
      <c r="F137" s="284" t="s">
        <v>1640</v>
      </c>
      <c r="G137" s="247"/>
      <c r="H137" s="258"/>
    </row>
    <row r="138" spans="1:8" ht="11.1" customHeight="1" x14ac:dyDescent="0.2">
      <c r="A138" s="247"/>
      <c r="B138" s="281" t="s">
        <v>393</v>
      </c>
      <c r="C138" s="271" t="s">
        <v>394</v>
      </c>
      <c r="D138" s="272" t="s">
        <v>1641</v>
      </c>
      <c r="E138" s="271" t="s">
        <v>1642</v>
      </c>
      <c r="F138" s="282" t="s">
        <v>1642</v>
      </c>
      <c r="G138" s="247"/>
      <c r="H138" s="258"/>
    </row>
    <row r="139" spans="1:8" ht="11.1" customHeight="1" x14ac:dyDescent="0.2">
      <c r="A139" s="247"/>
      <c r="B139" s="283" t="s">
        <v>537</v>
      </c>
      <c r="C139" s="262" t="s">
        <v>540</v>
      </c>
      <c r="D139" s="263" t="s">
        <v>1643</v>
      </c>
      <c r="E139" s="262" t="s">
        <v>1644</v>
      </c>
      <c r="F139" s="284" t="s">
        <v>1644</v>
      </c>
      <c r="G139" s="247"/>
      <c r="H139" s="258"/>
    </row>
    <row r="140" spans="1:8" ht="11.1" customHeight="1" x14ac:dyDescent="0.2">
      <c r="A140" s="247"/>
      <c r="B140" s="281" t="s">
        <v>393</v>
      </c>
      <c r="C140" s="271" t="s">
        <v>406</v>
      </c>
      <c r="D140" s="272" t="s">
        <v>1645</v>
      </c>
      <c r="E140" s="271" t="s">
        <v>1646</v>
      </c>
      <c r="F140" s="282" t="s">
        <v>1646</v>
      </c>
      <c r="G140" s="247"/>
      <c r="H140" s="258"/>
    </row>
    <row r="141" spans="1:8" ht="11.1" customHeight="1" x14ac:dyDescent="0.2">
      <c r="A141" s="247"/>
      <c r="B141" s="283" t="s">
        <v>447</v>
      </c>
      <c r="C141" s="262" t="s">
        <v>475</v>
      </c>
      <c r="D141" s="263" t="s">
        <v>1647</v>
      </c>
      <c r="E141" s="262" t="s">
        <v>1648</v>
      </c>
      <c r="F141" s="284" t="s">
        <v>1648</v>
      </c>
      <c r="G141" s="247"/>
      <c r="H141" s="258"/>
    </row>
    <row r="142" spans="1:8" ht="11.1" customHeight="1" x14ac:dyDescent="0.2">
      <c r="A142" s="247"/>
      <c r="B142" s="281" t="s">
        <v>447</v>
      </c>
      <c r="C142" s="271" t="s">
        <v>1610</v>
      </c>
      <c r="D142" s="272" t="s">
        <v>1649</v>
      </c>
      <c r="E142" s="271" t="s">
        <v>1650</v>
      </c>
      <c r="F142" s="282" t="s">
        <v>1650</v>
      </c>
      <c r="G142" s="247"/>
      <c r="H142" s="258"/>
    </row>
    <row r="143" spans="1:8" ht="11.1" customHeight="1" x14ac:dyDescent="0.2">
      <c r="A143" s="247"/>
      <c r="B143" s="283" t="s">
        <v>447</v>
      </c>
      <c r="C143" s="262" t="s">
        <v>462</v>
      </c>
      <c r="D143" s="263" t="s">
        <v>1651</v>
      </c>
      <c r="E143" s="262" t="s">
        <v>1652</v>
      </c>
      <c r="F143" s="284" t="s">
        <v>1652</v>
      </c>
      <c r="G143" s="247"/>
      <c r="H143" s="258"/>
    </row>
    <row r="144" spans="1:8" ht="11.1" customHeight="1" x14ac:dyDescent="0.2">
      <c r="A144" s="247"/>
      <c r="B144" s="281" t="s">
        <v>447</v>
      </c>
      <c r="C144" s="271" t="s">
        <v>462</v>
      </c>
      <c r="D144" s="272" t="s">
        <v>1653</v>
      </c>
      <c r="E144" s="271" t="s">
        <v>1654</v>
      </c>
      <c r="F144" s="282" t="s">
        <v>1654</v>
      </c>
      <c r="G144" s="247"/>
      <c r="H144" s="258"/>
    </row>
    <row r="145" spans="1:8" ht="11.1" customHeight="1" x14ac:dyDescent="0.2">
      <c r="A145" s="247"/>
      <c r="B145" s="283" t="s">
        <v>447</v>
      </c>
      <c r="C145" s="262" t="s">
        <v>475</v>
      </c>
      <c r="D145" s="263" t="s">
        <v>1655</v>
      </c>
      <c r="E145" s="262" t="s">
        <v>1656</v>
      </c>
      <c r="F145" s="284" t="s">
        <v>1656</v>
      </c>
      <c r="G145" s="247"/>
      <c r="H145" s="258"/>
    </row>
    <row r="146" spans="1:8" ht="11.1" customHeight="1" x14ac:dyDescent="0.2">
      <c r="A146" s="247"/>
      <c r="B146" s="281" t="s">
        <v>393</v>
      </c>
      <c r="C146" s="271" t="s">
        <v>394</v>
      </c>
      <c r="D146" s="272" t="s">
        <v>1657</v>
      </c>
      <c r="E146" s="271" t="s">
        <v>1658</v>
      </c>
      <c r="F146" s="282" t="s">
        <v>1658</v>
      </c>
      <c r="G146" s="247"/>
      <c r="H146" s="258"/>
    </row>
    <row r="147" spans="1:8" ht="11.1" customHeight="1" x14ac:dyDescent="0.2">
      <c r="A147" s="247"/>
      <c r="B147" s="283" t="s">
        <v>609</v>
      </c>
      <c r="C147" s="262" t="s">
        <v>610</v>
      </c>
      <c r="D147" s="263" t="s">
        <v>808</v>
      </c>
      <c r="E147" s="262" t="s">
        <v>1659</v>
      </c>
      <c r="F147" s="284" t="s">
        <v>1659</v>
      </c>
      <c r="G147" s="247"/>
      <c r="H147" s="258"/>
    </row>
    <row r="148" spans="1:8" ht="11.1" customHeight="1" x14ac:dyDescent="0.2">
      <c r="A148" s="247"/>
      <c r="B148" s="281" t="s">
        <v>447</v>
      </c>
      <c r="C148" s="271" t="s">
        <v>1526</v>
      </c>
      <c r="D148" s="272" t="s">
        <v>1660</v>
      </c>
      <c r="E148" s="271" t="s">
        <v>1661</v>
      </c>
      <c r="F148" s="282" t="s">
        <v>1661</v>
      </c>
      <c r="G148" s="247"/>
      <c r="H148" s="258"/>
    </row>
    <row r="149" spans="1:8" ht="11.1" customHeight="1" x14ac:dyDescent="0.2">
      <c r="A149" s="247"/>
      <c r="B149" s="283" t="s">
        <v>447</v>
      </c>
      <c r="C149" s="262" t="s">
        <v>478</v>
      </c>
      <c r="D149" s="263" t="s">
        <v>1662</v>
      </c>
      <c r="E149" s="262" t="s">
        <v>1663</v>
      </c>
      <c r="F149" s="284" t="s">
        <v>1663</v>
      </c>
      <c r="G149" s="247"/>
      <c r="H149" s="258"/>
    </row>
    <row r="150" spans="1:8" ht="11.1" customHeight="1" x14ac:dyDescent="0.2">
      <c r="A150" s="247"/>
      <c r="B150" s="281" t="s">
        <v>432</v>
      </c>
      <c r="C150" s="271" t="s">
        <v>433</v>
      </c>
      <c r="D150" s="272" t="s">
        <v>1664</v>
      </c>
      <c r="E150" s="271" t="s">
        <v>1665</v>
      </c>
      <c r="F150" s="282" t="s">
        <v>1665</v>
      </c>
      <c r="G150" s="247"/>
      <c r="H150" s="258"/>
    </row>
    <row r="151" spans="1:8" ht="11.1" customHeight="1" x14ac:dyDescent="0.2">
      <c r="A151" s="247"/>
      <c r="B151" s="283" t="s">
        <v>537</v>
      </c>
      <c r="C151" s="262" t="s">
        <v>543</v>
      </c>
      <c r="D151" s="263" t="s">
        <v>1666</v>
      </c>
      <c r="E151" s="262" t="s">
        <v>1667</v>
      </c>
      <c r="F151" s="284" t="s">
        <v>1667</v>
      </c>
      <c r="G151" s="247"/>
      <c r="H151" s="258"/>
    </row>
    <row r="152" spans="1:8" ht="11.1" customHeight="1" x14ac:dyDescent="0.2">
      <c r="A152" s="247"/>
      <c r="B152" s="281" t="s">
        <v>447</v>
      </c>
      <c r="C152" s="271" t="s">
        <v>1610</v>
      </c>
      <c r="D152" s="272" t="s">
        <v>1668</v>
      </c>
      <c r="E152" s="271" t="s">
        <v>1669</v>
      </c>
      <c r="F152" s="282" t="s">
        <v>1669</v>
      </c>
      <c r="G152" s="247"/>
      <c r="H152" s="258"/>
    </row>
    <row r="153" spans="1:8" ht="11.1" customHeight="1" x14ac:dyDescent="0.2">
      <c r="A153" s="247"/>
      <c r="B153" s="283" t="s">
        <v>537</v>
      </c>
      <c r="C153" s="262" t="s">
        <v>543</v>
      </c>
      <c r="D153" s="263" t="s">
        <v>1670</v>
      </c>
      <c r="E153" s="262" t="s">
        <v>1671</v>
      </c>
      <c r="F153" s="284" t="s">
        <v>1671</v>
      </c>
      <c r="G153" s="247"/>
      <c r="H153" s="258"/>
    </row>
    <row r="154" spans="1:8" ht="11.1" customHeight="1" x14ac:dyDescent="0.2">
      <c r="A154" s="247"/>
      <c r="B154" s="281" t="s">
        <v>432</v>
      </c>
      <c r="C154" s="271" t="s">
        <v>437</v>
      </c>
      <c r="D154" s="272" t="s">
        <v>1672</v>
      </c>
      <c r="E154" s="271" t="s">
        <v>1673</v>
      </c>
      <c r="F154" s="282" t="s">
        <v>1673</v>
      </c>
      <c r="G154" s="247"/>
      <c r="H154" s="258"/>
    </row>
    <row r="155" spans="1:8" ht="11.1" customHeight="1" x14ac:dyDescent="0.2">
      <c r="A155" s="247"/>
      <c r="B155" s="283" t="s">
        <v>505</v>
      </c>
      <c r="C155" s="262" t="s">
        <v>511</v>
      </c>
      <c r="D155" s="263" t="s">
        <v>1674</v>
      </c>
      <c r="E155" s="262" t="s">
        <v>1675</v>
      </c>
      <c r="F155" s="284" t="s">
        <v>1675</v>
      </c>
      <c r="G155" s="247"/>
      <c r="H155" s="258"/>
    </row>
    <row r="156" spans="1:8" ht="11.1" customHeight="1" x14ac:dyDescent="0.2">
      <c r="A156" s="247"/>
      <c r="B156" s="281" t="s">
        <v>447</v>
      </c>
      <c r="C156" s="271" t="s">
        <v>472</v>
      </c>
      <c r="D156" s="272" t="s">
        <v>1676</v>
      </c>
      <c r="E156" s="271" t="s">
        <v>1677</v>
      </c>
      <c r="F156" s="282" t="s">
        <v>1677</v>
      </c>
      <c r="G156" s="247"/>
      <c r="H156" s="258"/>
    </row>
    <row r="157" spans="1:8" ht="11.1" customHeight="1" x14ac:dyDescent="0.2">
      <c r="A157" s="247"/>
      <c r="B157" s="283" t="s">
        <v>432</v>
      </c>
      <c r="C157" s="262" t="s">
        <v>433</v>
      </c>
      <c r="D157" s="263" t="s">
        <v>1678</v>
      </c>
      <c r="E157" s="262" t="s">
        <v>1679</v>
      </c>
      <c r="F157" s="284" t="s">
        <v>1680</v>
      </c>
      <c r="G157" s="247"/>
      <c r="H157" s="258"/>
    </row>
    <row r="158" spans="1:8" ht="11.1" customHeight="1" x14ac:dyDescent="0.2">
      <c r="A158" s="247"/>
      <c r="B158" s="281" t="s">
        <v>447</v>
      </c>
      <c r="C158" s="271" t="s">
        <v>1526</v>
      </c>
      <c r="D158" s="272" t="s">
        <v>1681</v>
      </c>
      <c r="E158" s="271" t="s">
        <v>1682</v>
      </c>
      <c r="F158" s="282" t="s">
        <v>1682</v>
      </c>
      <c r="G158" s="247"/>
      <c r="H158" s="258"/>
    </row>
    <row r="159" spans="1:8" ht="11.1" customHeight="1" x14ac:dyDescent="0.2">
      <c r="A159" s="247"/>
      <c r="B159" s="283" t="s">
        <v>447</v>
      </c>
      <c r="C159" s="262" t="s">
        <v>478</v>
      </c>
      <c r="D159" s="263" t="s">
        <v>1683</v>
      </c>
      <c r="E159" s="262" t="s">
        <v>1684</v>
      </c>
      <c r="F159" s="284" t="s">
        <v>1684</v>
      </c>
      <c r="G159" s="247"/>
      <c r="H159" s="258"/>
    </row>
    <row r="160" spans="1:8" ht="11.1" customHeight="1" x14ac:dyDescent="0.2">
      <c r="A160" s="247"/>
      <c r="B160" s="281" t="s">
        <v>393</v>
      </c>
      <c r="C160" s="271" t="s">
        <v>394</v>
      </c>
      <c r="D160" s="272" t="s">
        <v>1685</v>
      </c>
      <c r="E160" s="271" t="s">
        <v>1686</v>
      </c>
      <c r="F160" s="282" t="s">
        <v>1686</v>
      </c>
      <c r="G160" s="247"/>
      <c r="H160" s="258"/>
    </row>
    <row r="161" spans="1:8" ht="11.1" customHeight="1" x14ac:dyDescent="0.2">
      <c r="A161" s="247"/>
      <c r="B161" s="283" t="s">
        <v>393</v>
      </c>
      <c r="C161" s="262" t="s">
        <v>394</v>
      </c>
      <c r="D161" s="263" t="s">
        <v>1687</v>
      </c>
      <c r="E161" s="262" t="s">
        <v>1688</v>
      </c>
      <c r="F161" s="284" t="s">
        <v>1688</v>
      </c>
      <c r="G161" s="247"/>
      <c r="H161" s="258"/>
    </row>
    <row r="162" spans="1:8" ht="11.1" customHeight="1" x14ac:dyDescent="0.2">
      <c r="A162" s="247"/>
      <c r="B162" s="281" t="s">
        <v>447</v>
      </c>
      <c r="C162" s="271" t="s">
        <v>465</v>
      </c>
      <c r="D162" s="272" t="s">
        <v>1689</v>
      </c>
      <c r="E162" s="271" t="s">
        <v>1690</v>
      </c>
      <c r="F162" s="282" t="s">
        <v>1690</v>
      </c>
      <c r="G162" s="247"/>
      <c r="H162" s="258"/>
    </row>
    <row r="163" spans="1:8" ht="11.1" customHeight="1" x14ac:dyDescent="0.2">
      <c r="A163" s="247"/>
      <c r="B163" s="283" t="s">
        <v>393</v>
      </c>
      <c r="C163" s="262" t="s">
        <v>394</v>
      </c>
      <c r="D163" s="263" t="s">
        <v>1691</v>
      </c>
      <c r="E163" s="262" t="s">
        <v>1692</v>
      </c>
      <c r="F163" s="284" t="s">
        <v>1692</v>
      </c>
      <c r="G163" s="247"/>
      <c r="H163" s="258"/>
    </row>
    <row r="164" spans="1:8" ht="11.1" customHeight="1" x14ac:dyDescent="0.2">
      <c r="A164" s="247"/>
      <c r="B164" s="281" t="s">
        <v>393</v>
      </c>
      <c r="C164" s="271" t="s">
        <v>406</v>
      </c>
      <c r="D164" s="272" t="s">
        <v>1693</v>
      </c>
      <c r="E164" s="271" t="s">
        <v>1694</v>
      </c>
      <c r="F164" s="282" t="s">
        <v>1694</v>
      </c>
      <c r="G164" s="247"/>
      <c r="H164" s="258"/>
    </row>
    <row r="165" spans="1:8" ht="11.1" customHeight="1" x14ac:dyDescent="0.2">
      <c r="A165" s="247"/>
      <c r="B165" s="283" t="s">
        <v>432</v>
      </c>
      <c r="C165" s="262" t="s">
        <v>433</v>
      </c>
      <c r="D165" s="263" t="s">
        <v>1695</v>
      </c>
      <c r="E165" s="262" t="s">
        <v>1696</v>
      </c>
      <c r="F165" s="284" t="s">
        <v>1696</v>
      </c>
      <c r="G165" s="247"/>
      <c r="H165" s="258"/>
    </row>
    <row r="166" spans="1:8" ht="11.1" customHeight="1" x14ac:dyDescent="0.2">
      <c r="A166" s="247"/>
      <c r="B166" s="281" t="s">
        <v>609</v>
      </c>
      <c r="C166" s="271" t="s">
        <v>610</v>
      </c>
      <c r="D166" s="272" t="s">
        <v>812</v>
      </c>
      <c r="E166" s="271" t="s">
        <v>1697</v>
      </c>
      <c r="F166" s="282" t="s">
        <v>1697</v>
      </c>
      <c r="G166" s="247"/>
      <c r="H166" s="258"/>
    </row>
    <row r="167" spans="1:8" ht="11.1" customHeight="1" x14ac:dyDescent="0.2">
      <c r="A167" s="247"/>
      <c r="B167" s="283" t="s">
        <v>393</v>
      </c>
      <c r="C167" s="262" t="s">
        <v>394</v>
      </c>
      <c r="D167" s="263" t="s">
        <v>1698</v>
      </c>
      <c r="E167" s="262" t="s">
        <v>1699</v>
      </c>
      <c r="F167" s="284" t="s">
        <v>1699</v>
      </c>
      <c r="G167" s="247"/>
      <c r="H167" s="258"/>
    </row>
    <row r="168" spans="1:8" ht="11.1" customHeight="1" x14ac:dyDescent="0.2">
      <c r="A168" s="247"/>
      <c r="B168" s="281" t="s">
        <v>447</v>
      </c>
      <c r="C168" s="271" t="s">
        <v>1526</v>
      </c>
      <c r="D168" s="272" t="s">
        <v>1700</v>
      </c>
      <c r="E168" s="271" t="s">
        <v>1701</v>
      </c>
      <c r="F168" s="282" t="s">
        <v>1701</v>
      </c>
      <c r="G168" s="247"/>
      <c r="H168" s="258"/>
    </row>
    <row r="169" spans="1:8" ht="11.1" customHeight="1" x14ac:dyDescent="0.2">
      <c r="A169" s="247"/>
      <c r="B169" s="283" t="s">
        <v>447</v>
      </c>
      <c r="C169" s="262" t="s">
        <v>1526</v>
      </c>
      <c r="D169" s="263" t="s">
        <v>895</v>
      </c>
      <c r="E169" s="262" t="s">
        <v>1702</v>
      </c>
      <c r="F169" s="284" t="s">
        <v>1703</v>
      </c>
      <c r="G169" s="247"/>
      <c r="H169" s="258"/>
    </row>
    <row r="170" spans="1:8" ht="11.1" customHeight="1" x14ac:dyDescent="0.2">
      <c r="A170" s="247"/>
      <c r="B170" s="281" t="s">
        <v>393</v>
      </c>
      <c r="C170" s="271" t="s">
        <v>394</v>
      </c>
      <c r="D170" s="272" t="s">
        <v>1704</v>
      </c>
      <c r="E170" s="271" t="s">
        <v>1705</v>
      </c>
      <c r="F170" s="282" t="s">
        <v>1705</v>
      </c>
      <c r="G170" s="247"/>
      <c r="H170" s="258"/>
    </row>
    <row r="171" spans="1:8" ht="11.1" customHeight="1" x14ac:dyDescent="0.2">
      <c r="A171" s="247"/>
      <c r="B171" s="283" t="s">
        <v>447</v>
      </c>
      <c r="C171" s="262" t="s">
        <v>465</v>
      </c>
      <c r="D171" s="263" t="s">
        <v>1706</v>
      </c>
      <c r="E171" s="262" t="s">
        <v>1707</v>
      </c>
      <c r="F171" s="284" t="s">
        <v>1707</v>
      </c>
      <c r="G171" s="247"/>
      <c r="H171" s="258"/>
    </row>
    <row r="172" spans="1:8" ht="11.1" customHeight="1" x14ac:dyDescent="0.2">
      <c r="A172" s="247"/>
      <c r="B172" s="281" t="s">
        <v>447</v>
      </c>
      <c r="C172" s="271" t="s">
        <v>748</v>
      </c>
      <c r="D172" s="272" t="s">
        <v>1708</v>
      </c>
      <c r="E172" s="271" t="s">
        <v>1709</v>
      </c>
      <c r="F172" s="282" t="s">
        <v>1709</v>
      </c>
      <c r="G172" s="247"/>
      <c r="H172" s="258"/>
    </row>
    <row r="173" spans="1:8" ht="11.1" customHeight="1" x14ac:dyDescent="0.2">
      <c r="A173" s="247"/>
      <c r="B173" s="283" t="s">
        <v>447</v>
      </c>
      <c r="C173" s="262" t="s">
        <v>475</v>
      </c>
      <c r="D173" s="263" t="s">
        <v>1710</v>
      </c>
      <c r="E173" s="262" t="s">
        <v>1711</v>
      </c>
      <c r="F173" s="284" t="s">
        <v>1712</v>
      </c>
      <c r="G173" s="247"/>
      <c r="H173" s="258"/>
    </row>
    <row r="174" spans="1:8" ht="11.1" customHeight="1" x14ac:dyDescent="0.2">
      <c r="A174" s="247"/>
      <c r="B174" s="281" t="s">
        <v>447</v>
      </c>
      <c r="C174" s="271" t="s">
        <v>465</v>
      </c>
      <c r="D174" s="272" t="s">
        <v>1713</v>
      </c>
      <c r="E174" s="271" t="s">
        <v>1714</v>
      </c>
      <c r="F174" s="282" t="s">
        <v>1714</v>
      </c>
      <c r="G174" s="247"/>
      <c r="H174" s="258"/>
    </row>
    <row r="175" spans="1:8" ht="11.1" customHeight="1" x14ac:dyDescent="0.2">
      <c r="A175" s="247"/>
      <c r="B175" s="283" t="s">
        <v>447</v>
      </c>
      <c r="C175" s="262" t="s">
        <v>465</v>
      </c>
      <c r="D175" s="263" t="s">
        <v>1715</v>
      </c>
      <c r="E175" s="262" t="s">
        <v>1716</v>
      </c>
      <c r="F175" s="284" t="s">
        <v>1716</v>
      </c>
      <c r="G175" s="247"/>
      <c r="H175" s="258"/>
    </row>
    <row r="176" spans="1:8" ht="11.1" customHeight="1" x14ac:dyDescent="0.2">
      <c r="A176" s="247"/>
      <c r="B176" s="281" t="s">
        <v>447</v>
      </c>
      <c r="C176" s="271" t="s">
        <v>1526</v>
      </c>
      <c r="D176" s="272" t="s">
        <v>1717</v>
      </c>
      <c r="E176" s="271" t="s">
        <v>1718</v>
      </c>
      <c r="F176" s="282" t="s">
        <v>1718</v>
      </c>
      <c r="G176" s="247"/>
      <c r="H176" s="258"/>
    </row>
    <row r="177" spans="1:8" ht="11.1" customHeight="1" x14ac:dyDescent="0.2">
      <c r="A177" s="247"/>
      <c r="B177" s="283" t="s">
        <v>393</v>
      </c>
      <c r="C177" s="262" t="s">
        <v>406</v>
      </c>
      <c r="D177" s="263" t="s">
        <v>1719</v>
      </c>
      <c r="E177" s="262" t="s">
        <v>1720</v>
      </c>
      <c r="F177" s="284" t="s">
        <v>1720</v>
      </c>
      <c r="G177" s="247"/>
      <c r="H177" s="258"/>
    </row>
    <row r="178" spans="1:8" ht="11.1" customHeight="1" x14ac:dyDescent="0.2">
      <c r="A178" s="247"/>
      <c r="B178" s="281" t="s">
        <v>447</v>
      </c>
      <c r="C178" s="271" t="s">
        <v>459</v>
      </c>
      <c r="D178" s="272" t="s">
        <v>1721</v>
      </c>
      <c r="E178" s="271" t="s">
        <v>1722</v>
      </c>
      <c r="F178" s="282" t="s">
        <v>1722</v>
      </c>
      <c r="G178" s="247"/>
      <c r="H178" s="258"/>
    </row>
    <row r="179" spans="1:8" ht="11.1" customHeight="1" x14ac:dyDescent="0.2">
      <c r="A179" s="247"/>
      <c r="B179" s="283" t="s">
        <v>447</v>
      </c>
      <c r="C179" s="262" t="s">
        <v>459</v>
      </c>
      <c r="D179" s="263" t="s">
        <v>1723</v>
      </c>
      <c r="E179" s="262" t="s">
        <v>1724</v>
      </c>
      <c r="F179" s="284" t="s">
        <v>1724</v>
      </c>
      <c r="G179" s="247"/>
      <c r="H179" s="258"/>
    </row>
    <row r="180" spans="1:8" ht="11.1" customHeight="1" x14ac:dyDescent="0.2">
      <c r="A180" s="247"/>
      <c r="B180" s="281" t="s">
        <v>432</v>
      </c>
      <c r="C180" s="271" t="s">
        <v>437</v>
      </c>
      <c r="D180" s="272" t="s">
        <v>1725</v>
      </c>
      <c r="E180" s="271" t="s">
        <v>1726</v>
      </c>
      <c r="F180" s="282" t="s">
        <v>1726</v>
      </c>
      <c r="G180" s="247"/>
      <c r="H180" s="258"/>
    </row>
    <row r="181" spans="1:8" ht="11.1" customHeight="1" x14ac:dyDescent="0.2">
      <c r="A181" s="247"/>
      <c r="B181" s="283" t="s">
        <v>447</v>
      </c>
      <c r="C181" s="262" t="s">
        <v>465</v>
      </c>
      <c r="D181" s="263" t="s">
        <v>1727</v>
      </c>
      <c r="E181" s="262" t="s">
        <v>1728</v>
      </c>
      <c r="F181" s="284" t="s">
        <v>1728</v>
      </c>
      <c r="G181" s="247"/>
      <c r="H181" s="258"/>
    </row>
    <row r="182" spans="1:8" ht="11.1" customHeight="1" x14ac:dyDescent="0.2">
      <c r="A182" s="247"/>
      <c r="B182" s="281" t="s">
        <v>393</v>
      </c>
      <c r="C182" s="271" t="s">
        <v>394</v>
      </c>
      <c r="D182" s="272" t="s">
        <v>1729</v>
      </c>
      <c r="E182" s="271" t="s">
        <v>1730</v>
      </c>
      <c r="F182" s="282" t="s">
        <v>1731</v>
      </c>
      <c r="G182" s="247"/>
      <c r="H182" s="258"/>
    </row>
    <row r="183" spans="1:8" ht="11.1" customHeight="1" x14ac:dyDescent="0.2">
      <c r="A183" s="247"/>
      <c r="B183" s="283" t="s">
        <v>432</v>
      </c>
      <c r="C183" s="262" t="s">
        <v>433</v>
      </c>
      <c r="D183" s="263" t="s">
        <v>1732</v>
      </c>
      <c r="E183" s="262" t="s">
        <v>1733</v>
      </c>
      <c r="F183" s="284" t="s">
        <v>1733</v>
      </c>
      <c r="G183" s="247"/>
      <c r="H183" s="258"/>
    </row>
    <row r="184" spans="1:8" ht="11.1" customHeight="1" x14ac:dyDescent="0.2">
      <c r="A184" s="247"/>
      <c r="B184" s="305" t="s">
        <v>447</v>
      </c>
      <c r="C184" s="307" t="s">
        <v>475</v>
      </c>
      <c r="D184" s="306" t="s">
        <v>1734</v>
      </c>
      <c r="E184" s="307" t="s">
        <v>1735</v>
      </c>
      <c r="F184" s="308" t="s">
        <v>1735</v>
      </c>
      <c r="G184" s="247"/>
      <c r="H184" s="258"/>
    </row>
    <row r="185" spans="1:8" ht="11.1" customHeight="1" x14ac:dyDescent="0.2">
      <c r="A185" s="247"/>
      <c r="B185" s="303" t="s">
        <v>393</v>
      </c>
      <c r="C185" s="258" t="s">
        <v>394</v>
      </c>
      <c r="D185" s="259" t="s">
        <v>1736</v>
      </c>
      <c r="E185" s="258" t="s">
        <v>1737</v>
      </c>
      <c r="F185" s="304" t="s">
        <v>1737</v>
      </c>
      <c r="G185" s="247"/>
      <c r="H185" s="258"/>
    </row>
    <row r="186" spans="1:8" ht="11.1" customHeight="1" x14ac:dyDescent="0.2">
      <c r="A186" s="247"/>
      <c r="B186" s="305" t="s">
        <v>393</v>
      </c>
      <c r="C186" s="307" t="s">
        <v>416</v>
      </c>
      <c r="D186" s="306" t="s">
        <v>1738</v>
      </c>
      <c r="E186" s="307" t="s">
        <v>1739</v>
      </c>
      <c r="F186" s="308" t="s">
        <v>1739</v>
      </c>
      <c r="G186" s="247"/>
      <c r="H186" s="258"/>
    </row>
    <row r="187" spans="1:8" ht="11.1" customHeight="1" x14ac:dyDescent="0.2">
      <c r="A187" s="247"/>
      <c r="B187" s="303" t="s">
        <v>393</v>
      </c>
      <c r="C187" s="258" t="s">
        <v>406</v>
      </c>
      <c r="D187" s="259" t="s">
        <v>1740</v>
      </c>
      <c r="E187" s="258" t="s">
        <v>1741</v>
      </c>
      <c r="F187" s="304" t="s">
        <v>1741</v>
      </c>
      <c r="G187" s="258"/>
      <c r="H187" s="259"/>
    </row>
    <row r="188" spans="1:8" ht="11.1" customHeight="1" x14ac:dyDescent="0.2">
      <c r="A188" s="247"/>
      <c r="B188" s="305" t="s">
        <v>393</v>
      </c>
      <c r="C188" s="307" t="s">
        <v>394</v>
      </c>
      <c r="D188" s="306" t="s">
        <v>1742</v>
      </c>
      <c r="E188" s="307" t="s">
        <v>1743</v>
      </c>
      <c r="F188" s="308" t="s">
        <v>1743</v>
      </c>
      <c r="G188" s="258"/>
      <c r="H188" s="259"/>
    </row>
    <row r="189" spans="1:8" ht="11.1" customHeight="1" x14ac:dyDescent="0.2">
      <c r="A189" s="247"/>
      <c r="B189" s="303" t="s">
        <v>432</v>
      </c>
      <c r="C189" s="258" t="s">
        <v>433</v>
      </c>
      <c r="D189" s="259" t="s">
        <v>1744</v>
      </c>
      <c r="E189" s="258" t="s">
        <v>1745</v>
      </c>
      <c r="F189" s="304" t="s">
        <v>1745</v>
      </c>
      <c r="G189" s="258"/>
      <c r="H189" s="259"/>
    </row>
    <row r="190" spans="1:8" ht="11.1" customHeight="1" x14ac:dyDescent="0.2">
      <c r="A190" s="247"/>
      <c r="B190" s="305" t="s">
        <v>447</v>
      </c>
      <c r="C190" s="307" t="s">
        <v>465</v>
      </c>
      <c r="D190" s="306" t="s">
        <v>1746</v>
      </c>
      <c r="E190" s="307" t="s">
        <v>1747</v>
      </c>
      <c r="F190" s="308" t="s">
        <v>1747</v>
      </c>
      <c r="G190" s="258"/>
      <c r="H190" s="259"/>
    </row>
    <row r="191" spans="1:8" ht="11.1" customHeight="1" x14ac:dyDescent="0.2">
      <c r="A191" s="247"/>
      <c r="B191" s="303" t="s">
        <v>393</v>
      </c>
      <c r="C191" s="258" t="s">
        <v>416</v>
      </c>
      <c r="D191" s="259" t="s">
        <v>1748</v>
      </c>
      <c r="E191" s="258" t="s">
        <v>1749</v>
      </c>
      <c r="F191" s="304" t="s">
        <v>1749</v>
      </c>
      <c r="G191" s="258"/>
      <c r="H191" s="259"/>
    </row>
    <row r="192" spans="1:8" ht="11.1" customHeight="1" x14ac:dyDescent="0.2">
      <c r="A192" s="247"/>
      <c r="B192" s="305" t="s">
        <v>447</v>
      </c>
      <c r="C192" s="307" t="s">
        <v>487</v>
      </c>
      <c r="D192" s="306" t="s">
        <v>1750</v>
      </c>
      <c r="E192" s="307" t="s">
        <v>1751</v>
      </c>
      <c r="F192" s="308" t="s">
        <v>1751</v>
      </c>
      <c r="G192" s="258"/>
      <c r="H192" s="259"/>
    </row>
    <row r="193" spans="1:8" ht="11.1" customHeight="1" x14ac:dyDescent="0.2">
      <c r="A193" s="247"/>
      <c r="B193" s="303" t="s">
        <v>505</v>
      </c>
      <c r="C193" s="258" t="s">
        <v>511</v>
      </c>
      <c r="D193" s="259" t="s">
        <v>1752</v>
      </c>
      <c r="E193" s="258" t="s">
        <v>1753</v>
      </c>
      <c r="F193" s="304" t="s">
        <v>1753</v>
      </c>
      <c r="G193" s="258"/>
      <c r="H193" s="259"/>
    </row>
    <row r="194" spans="1:8" ht="11.1" customHeight="1" x14ac:dyDescent="0.2">
      <c r="A194" s="247"/>
      <c r="B194" s="305" t="s">
        <v>609</v>
      </c>
      <c r="C194" s="307" t="s">
        <v>610</v>
      </c>
      <c r="D194" s="306" t="s">
        <v>828</v>
      </c>
      <c r="E194" s="307" t="s">
        <v>1754</v>
      </c>
      <c r="F194" s="308" t="s">
        <v>1754</v>
      </c>
      <c r="G194" s="258"/>
      <c r="H194" s="259"/>
    </row>
    <row r="195" spans="1:8" ht="11.1" customHeight="1" x14ac:dyDescent="0.2">
      <c r="A195" s="247"/>
      <c r="B195" s="303" t="s">
        <v>505</v>
      </c>
      <c r="C195" s="258" t="s">
        <v>511</v>
      </c>
      <c r="D195" s="259" t="s">
        <v>1755</v>
      </c>
      <c r="E195" s="258" t="s">
        <v>1756</v>
      </c>
      <c r="F195" s="304" t="s">
        <v>1756</v>
      </c>
      <c r="G195" s="258"/>
      <c r="H195" s="259"/>
    </row>
    <row r="196" spans="1:8" ht="11.1" customHeight="1" x14ac:dyDescent="0.2">
      <c r="A196" s="247"/>
      <c r="B196" s="305" t="s">
        <v>557</v>
      </c>
      <c r="C196" s="307" t="s">
        <v>560</v>
      </c>
      <c r="D196" s="306" t="s">
        <v>1757</v>
      </c>
      <c r="E196" s="307" t="s">
        <v>1758</v>
      </c>
      <c r="F196" s="308" t="s">
        <v>1758</v>
      </c>
      <c r="G196" s="258"/>
      <c r="H196" s="259"/>
    </row>
    <row r="197" spans="1:8" ht="11.1" customHeight="1" x14ac:dyDescent="0.2">
      <c r="A197" s="247"/>
      <c r="B197" s="303" t="s">
        <v>447</v>
      </c>
      <c r="C197" s="258" t="s">
        <v>1759</v>
      </c>
      <c r="D197" s="259" t="s">
        <v>1760</v>
      </c>
      <c r="E197" s="258" t="s">
        <v>1761</v>
      </c>
      <c r="F197" s="304" t="s">
        <v>1761</v>
      </c>
      <c r="G197" s="258"/>
      <c r="H197" s="259"/>
    </row>
    <row r="198" spans="1:8" ht="11.1" customHeight="1" x14ac:dyDescent="0.2">
      <c r="A198" s="247"/>
      <c r="B198" s="305" t="s">
        <v>447</v>
      </c>
      <c r="C198" s="307" t="s">
        <v>478</v>
      </c>
      <c r="D198" s="306" t="s">
        <v>1762</v>
      </c>
      <c r="E198" s="307" t="s">
        <v>1763</v>
      </c>
      <c r="F198" s="308" t="s">
        <v>1763</v>
      </c>
      <c r="G198" s="258"/>
      <c r="H198" s="259"/>
    </row>
    <row r="199" spans="1:8" ht="11.1" customHeight="1" x14ac:dyDescent="0.2">
      <c r="A199" s="247"/>
      <c r="B199" s="303" t="s">
        <v>447</v>
      </c>
      <c r="C199" s="258" t="s">
        <v>475</v>
      </c>
      <c r="D199" s="259" t="s">
        <v>1764</v>
      </c>
      <c r="E199" s="258" t="s">
        <v>1765</v>
      </c>
      <c r="F199" s="304" t="s">
        <v>1765</v>
      </c>
      <c r="G199" s="258"/>
      <c r="H199" s="259"/>
    </row>
    <row r="200" spans="1:8" ht="11.1" customHeight="1" x14ac:dyDescent="0.2">
      <c r="A200" s="247"/>
      <c r="B200" s="305" t="s">
        <v>609</v>
      </c>
      <c r="C200" s="307" t="s">
        <v>678</v>
      </c>
      <c r="D200" s="306" t="s">
        <v>1766</v>
      </c>
      <c r="E200" s="307" t="s">
        <v>1767</v>
      </c>
      <c r="F200" s="308" t="s">
        <v>1767</v>
      </c>
      <c r="G200" s="258"/>
      <c r="H200" s="259"/>
    </row>
    <row r="201" spans="1:8" ht="11.1" customHeight="1" x14ac:dyDescent="0.2">
      <c r="A201" s="247"/>
      <c r="B201" s="303" t="s">
        <v>447</v>
      </c>
      <c r="C201" s="258" t="s">
        <v>478</v>
      </c>
      <c r="D201" s="259" t="s">
        <v>1768</v>
      </c>
      <c r="E201" s="258" t="s">
        <v>1769</v>
      </c>
      <c r="F201" s="304" t="s">
        <v>1769</v>
      </c>
      <c r="G201" s="258"/>
      <c r="H201" s="259"/>
    </row>
    <row r="202" spans="1:8" ht="11.1" customHeight="1" x14ac:dyDescent="0.2">
      <c r="A202" s="247"/>
      <c r="B202" s="305" t="s">
        <v>447</v>
      </c>
      <c r="C202" s="307" t="s">
        <v>1526</v>
      </c>
      <c r="D202" s="306" t="s">
        <v>1770</v>
      </c>
      <c r="E202" s="307" t="s">
        <v>1771</v>
      </c>
      <c r="F202" s="308" t="s">
        <v>1771</v>
      </c>
      <c r="G202" s="258"/>
      <c r="H202" s="259"/>
    </row>
    <row r="203" spans="1:8" ht="11.1" customHeight="1" x14ac:dyDescent="0.2">
      <c r="A203" s="247"/>
      <c r="B203" s="303" t="s">
        <v>393</v>
      </c>
      <c r="C203" s="258" t="s">
        <v>394</v>
      </c>
      <c r="D203" s="259" t="s">
        <v>1772</v>
      </c>
      <c r="E203" s="258" t="s">
        <v>1773</v>
      </c>
      <c r="F203" s="304" t="s">
        <v>1773</v>
      </c>
      <c r="G203" s="258"/>
      <c r="H203" s="259"/>
    </row>
    <row r="204" spans="1:8" ht="11.1" customHeight="1" x14ac:dyDescent="0.2">
      <c r="A204" s="247"/>
      <c r="B204" s="305" t="s">
        <v>393</v>
      </c>
      <c r="C204" s="307" t="s">
        <v>394</v>
      </c>
      <c r="D204" s="306" t="s">
        <v>1774</v>
      </c>
      <c r="E204" s="307" t="s">
        <v>1775</v>
      </c>
      <c r="F204" s="308" t="s">
        <v>1775</v>
      </c>
      <c r="G204" s="258"/>
      <c r="H204" s="259"/>
    </row>
    <row r="205" spans="1:8" ht="11.1" customHeight="1" x14ac:dyDescent="0.2">
      <c r="A205" s="247"/>
      <c r="B205" s="303" t="s">
        <v>505</v>
      </c>
      <c r="C205" s="258" t="s">
        <v>511</v>
      </c>
      <c r="D205" s="259" t="s">
        <v>1776</v>
      </c>
      <c r="E205" s="258" t="s">
        <v>1777</v>
      </c>
      <c r="F205" s="304" t="s">
        <v>1777</v>
      </c>
      <c r="G205" s="258"/>
      <c r="H205" s="259"/>
    </row>
    <row r="206" spans="1:8" ht="11.1" customHeight="1" x14ac:dyDescent="0.2">
      <c r="A206" s="247"/>
      <c r="B206" s="305" t="s">
        <v>537</v>
      </c>
      <c r="C206" s="307" t="s">
        <v>543</v>
      </c>
      <c r="D206" s="306" t="s">
        <v>1778</v>
      </c>
      <c r="E206" s="307" t="s">
        <v>1779</v>
      </c>
      <c r="F206" s="308" t="s">
        <v>1780</v>
      </c>
      <c r="G206" s="258"/>
      <c r="H206" s="259"/>
    </row>
    <row r="207" spans="1:8" ht="11.1" customHeight="1" x14ac:dyDescent="0.2">
      <c r="A207" s="247"/>
      <c r="B207" s="303" t="s">
        <v>447</v>
      </c>
      <c r="C207" s="258" t="s">
        <v>1526</v>
      </c>
      <c r="D207" s="259" t="s">
        <v>1781</v>
      </c>
      <c r="E207" s="258" t="s">
        <v>1782</v>
      </c>
      <c r="F207" s="304" t="s">
        <v>1782</v>
      </c>
      <c r="G207" s="258"/>
      <c r="H207" s="259"/>
    </row>
    <row r="208" spans="1:8" ht="11.1" customHeight="1" x14ac:dyDescent="0.2">
      <c r="A208" s="247"/>
      <c r="B208" s="305" t="s">
        <v>393</v>
      </c>
      <c r="C208" s="307" t="s">
        <v>394</v>
      </c>
      <c r="D208" s="306" t="s">
        <v>930</v>
      </c>
      <c r="E208" s="307" t="s">
        <v>1783</v>
      </c>
      <c r="F208" s="308" t="s">
        <v>1784</v>
      </c>
      <c r="G208" s="258"/>
      <c r="H208" s="259"/>
    </row>
    <row r="209" spans="1:8" ht="11.1" customHeight="1" x14ac:dyDescent="0.2">
      <c r="A209" s="247"/>
      <c r="B209" s="303" t="s">
        <v>537</v>
      </c>
      <c r="C209" s="258" t="s">
        <v>543</v>
      </c>
      <c r="D209" s="259" t="s">
        <v>1785</v>
      </c>
      <c r="E209" s="258" t="s">
        <v>1786</v>
      </c>
      <c r="F209" s="304" t="s">
        <v>1786</v>
      </c>
      <c r="G209" s="258"/>
      <c r="H209" s="259"/>
    </row>
    <row r="210" spans="1:8" ht="11.1" customHeight="1" x14ac:dyDescent="0.2">
      <c r="A210" s="247"/>
      <c r="B210" s="305" t="s">
        <v>393</v>
      </c>
      <c r="C210" s="307" t="s">
        <v>416</v>
      </c>
      <c r="D210" s="306" t="s">
        <v>1787</v>
      </c>
      <c r="E210" s="307" t="s">
        <v>1788</v>
      </c>
      <c r="F210" s="308" t="s">
        <v>1788</v>
      </c>
      <c r="G210" s="258"/>
      <c r="H210" s="259"/>
    </row>
    <row r="211" spans="1:8" ht="11.1" customHeight="1" x14ac:dyDescent="0.2">
      <c r="A211" s="247"/>
      <c r="B211" s="303" t="s">
        <v>537</v>
      </c>
      <c r="C211" s="258" t="s">
        <v>543</v>
      </c>
      <c r="D211" s="259" t="s">
        <v>1789</v>
      </c>
      <c r="E211" s="258" t="s">
        <v>1790</v>
      </c>
      <c r="F211" s="304" t="s">
        <v>1790</v>
      </c>
      <c r="G211" s="258"/>
      <c r="H211" s="259"/>
    </row>
    <row r="212" spans="1:8" ht="11.1" customHeight="1" x14ac:dyDescent="0.2">
      <c r="A212" s="247"/>
      <c r="B212" s="305" t="s">
        <v>447</v>
      </c>
      <c r="C212" s="307" t="s">
        <v>478</v>
      </c>
      <c r="D212" s="306" t="s">
        <v>1791</v>
      </c>
      <c r="E212" s="307" t="s">
        <v>1792</v>
      </c>
      <c r="F212" s="308" t="s">
        <v>1792</v>
      </c>
      <c r="G212" s="258"/>
      <c r="H212" s="259"/>
    </row>
    <row r="213" spans="1:8" ht="11.1" customHeight="1" x14ac:dyDescent="0.2">
      <c r="A213" s="247"/>
      <c r="B213" s="303" t="s">
        <v>537</v>
      </c>
      <c r="C213" s="258" t="s">
        <v>543</v>
      </c>
      <c r="D213" s="259" t="s">
        <v>1793</v>
      </c>
      <c r="E213" s="258" t="s">
        <v>1794</v>
      </c>
      <c r="F213" s="304" t="s">
        <v>1794</v>
      </c>
      <c r="G213" s="258"/>
      <c r="H213" s="259"/>
    </row>
    <row r="214" spans="1:8" ht="11.1" customHeight="1" x14ac:dyDescent="0.2">
      <c r="A214" s="247"/>
      <c r="B214" s="305" t="s">
        <v>447</v>
      </c>
      <c r="C214" s="307" t="s">
        <v>478</v>
      </c>
      <c r="D214" s="306" t="s">
        <v>932</v>
      </c>
      <c r="E214" s="307" t="s">
        <v>1795</v>
      </c>
      <c r="F214" s="308" t="s">
        <v>1796</v>
      </c>
      <c r="G214" s="258"/>
      <c r="H214" s="259"/>
    </row>
    <row r="215" spans="1:8" ht="11.1" customHeight="1" x14ac:dyDescent="0.2">
      <c r="A215" s="247"/>
      <c r="B215" s="303" t="s">
        <v>447</v>
      </c>
      <c r="C215" s="258" t="s">
        <v>478</v>
      </c>
      <c r="D215" s="259" t="s">
        <v>1797</v>
      </c>
      <c r="E215" s="258" t="s">
        <v>1798</v>
      </c>
      <c r="F215" s="304" t="s">
        <v>1798</v>
      </c>
      <c r="G215" s="258"/>
      <c r="H215" s="259"/>
    </row>
    <row r="216" spans="1:8" ht="11.1" customHeight="1" x14ac:dyDescent="0.2">
      <c r="A216" s="247"/>
      <c r="B216" s="305" t="s">
        <v>505</v>
      </c>
      <c r="C216" s="307" t="s">
        <v>511</v>
      </c>
      <c r="D216" s="306" t="s">
        <v>1799</v>
      </c>
      <c r="E216" s="307" t="s">
        <v>1800</v>
      </c>
      <c r="F216" s="308" t="s">
        <v>1800</v>
      </c>
      <c r="G216" s="258"/>
      <c r="H216" s="259"/>
    </row>
    <row r="217" spans="1:8" ht="11.1" customHeight="1" x14ac:dyDescent="0.2">
      <c r="A217" s="247"/>
      <c r="B217" s="303" t="s">
        <v>609</v>
      </c>
      <c r="C217" s="258" t="s">
        <v>610</v>
      </c>
      <c r="D217" s="259" t="s">
        <v>1801</v>
      </c>
      <c r="E217" s="258" t="s">
        <v>1802</v>
      </c>
      <c r="F217" s="304" t="s">
        <v>1802</v>
      </c>
      <c r="G217" s="258"/>
      <c r="H217" s="259"/>
    </row>
    <row r="218" spans="1:8" ht="11.1" customHeight="1" x14ac:dyDescent="0.2">
      <c r="A218" s="247"/>
      <c r="B218" s="305" t="s">
        <v>393</v>
      </c>
      <c r="C218" s="307" t="s">
        <v>416</v>
      </c>
      <c r="D218" s="306" t="s">
        <v>1803</v>
      </c>
      <c r="E218" s="307" t="s">
        <v>1804</v>
      </c>
      <c r="F218" s="308" t="s">
        <v>1804</v>
      </c>
      <c r="G218" s="258"/>
      <c r="H218" s="259"/>
    </row>
    <row r="219" spans="1:8" ht="11.1" customHeight="1" x14ac:dyDescent="0.2">
      <c r="A219" s="247"/>
      <c r="B219" s="303" t="s">
        <v>393</v>
      </c>
      <c r="C219" s="258" t="s">
        <v>406</v>
      </c>
      <c r="D219" s="259" t="s">
        <v>1805</v>
      </c>
      <c r="E219" s="258" t="s">
        <v>1806</v>
      </c>
      <c r="F219" s="304" t="s">
        <v>1806</v>
      </c>
      <c r="G219" s="258"/>
      <c r="H219" s="259"/>
    </row>
    <row r="220" spans="1:8" ht="11.1" customHeight="1" x14ac:dyDescent="0.2">
      <c r="A220" s="247"/>
      <c r="B220" s="305" t="s">
        <v>447</v>
      </c>
      <c r="C220" s="307" t="s">
        <v>459</v>
      </c>
      <c r="D220" s="306" t="s">
        <v>1807</v>
      </c>
      <c r="E220" s="307" t="s">
        <v>1808</v>
      </c>
      <c r="F220" s="308" t="s">
        <v>1808</v>
      </c>
      <c r="G220" s="258"/>
      <c r="H220" s="259"/>
    </row>
    <row r="221" spans="1:8" ht="11.1" customHeight="1" x14ac:dyDescent="0.2">
      <c r="A221" s="247"/>
      <c r="B221" s="303" t="s">
        <v>393</v>
      </c>
      <c r="C221" s="258" t="s">
        <v>394</v>
      </c>
      <c r="D221" s="259" t="s">
        <v>1809</v>
      </c>
      <c r="E221" s="258" t="s">
        <v>1810</v>
      </c>
      <c r="F221" s="304" t="s">
        <v>1810</v>
      </c>
      <c r="G221" s="258"/>
      <c r="H221" s="259"/>
    </row>
    <row r="222" spans="1:8" ht="11.1" customHeight="1" x14ac:dyDescent="0.2">
      <c r="A222" s="247"/>
      <c r="B222" s="305" t="s">
        <v>447</v>
      </c>
      <c r="C222" s="307" t="s">
        <v>475</v>
      </c>
      <c r="D222" s="306" t="s">
        <v>1811</v>
      </c>
      <c r="E222" s="307" t="s">
        <v>1812</v>
      </c>
      <c r="F222" s="308" t="s">
        <v>1812</v>
      </c>
      <c r="G222" s="258"/>
      <c r="H222" s="259"/>
    </row>
    <row r="223" spans="1:8" ht="11.1" customHeight="1" x14ac:dyDescent="0.2">
      <c r="A223" s="247"/>
      <c r="B223" s="303" t="s">
        <v>537</v>
      </c>
      <c r="C223" s="258" t="s">
        <v>543</v>
      </c>
      <c r="D223" s="259" t="s">
        <v>1813</v>
      </c>
      <c r="E223" s="258" t="s">
        <v>1814</v>
      </c>
      <c r="F223" s="304" t="s">
        <v>1814</v>
      </c>
      <c r="G223" s="258"/>
      <c r="H223" s="259"/>
    </row>
    <row r="224" spans="1:8" ht="11.1" customHeight="1" x14ac:dyDescent="0.2">
      <c r="A224" s="247"/>
      <c r="B224" s="305" t="s">
        <v>393</v>
      </c>
      <c r="C224" s="307" t="s">
        <v>406</v>
      </c>
      <c r="D224" s="306" t="s">
        <v>1815</v>
      </c>
      <c r="E224" s="307" t="s">
        <v>1816</v>
      </c>
      <c r="F224" s="308" t="s">
        <v>1816</v>
      </c>
      <c r="G224" s="258"/>
      <c r="H224" s="259"/>
    </row>
    <row r="225" spans="1:8" ht="11.1" customHeight="1" x14ac:dyDescent="0.2">
      <c r="A225" s="247"/>
      <c r="B225" s="303" t="s">
        <v>447</v>
      </c>
      <c r="C225" s="258" t="s">
        <v>475</v>
      </c>
      <c r="D225" s="259" t="s">
        <v>1817</v>
      </c>
      <c r="E225" s="258" t="s">
        <v>1818</v>
      </c>
      <c r="F225" s="304" t="s">
        <v>1818</v>
      </c>
      <c r="G225" s="258"/>
      <c r="H225" s="259"/>
    </row>
    <row r="226" spans="1:8" ht="11.1" customHeight="1" x14ac:dyDescent="0.2">
      <c r="A226" s="247"/>
      <c r="B226" s="305" t="s">
        <v>447</v>
      </c>
      <c r="C226" s="307" t="s">
        <v>748</v>
      </c>
      <c r="D226" s="306" t="s">
        <v>1819</v>
      </c>
      <c r="E226" s="307" t="s">
        <v>1820</v>
      </c>
      <c r="F226" s="308" t="s">
        <v>1820</v>
      </c>
      <c r="G226" s="258"/>
      <c r="H226" s="259"/>
    </row>
    <row r="227" spans="1:8" ht="11.1" customHeight="1" x14ac:dyDescent="0.2">
      <c r="A227" s="247"/>
      <c r="B227" s="303" t="s">
        <v>447</v>
      </c>
      <c r="C227" s="258" t="s">
        <v>1526</v>
      </c>
      <c r="D227" s="259" t="s">
        <v>1821</v>
      </c>
      <c r="E227" s="258" t="s">
        <v>1822</v>
      </c>
      <c r="F227" s="304" t="s">
        <v>1822</v>
      </c>
      <c r="G227" s="258"/>
      <c r="H227" s="259"/>
    </row>
    <row r="228" spans="1:8" ht="11.1" customHeight="1" x14ac:dyDescent="0.2">
      <c r="A228" s="247"/>
      <c r="B228" s="305" t="s">
        <v>447</v>
      </c>
      <c r="C228" s="307" t="s">
        <v>462</v>
      </c>
      <c r="D228" s="306" t="s">
        <v>1823</v>
      </c>
      <c r="E228" s="307" t="s">
        <v>1824</v>
      </c>
      <c r="F228" s="308" t="s">
        <v>1824</v>
      </c>
      <c r="G228" s="258"/>
      <c r="H228" s="259"/>
    </row>
    <row r="229" spans="1:8" ht="11.1" customHeight="1" x14ac:dyDescent="0.2">
      <c r="A229" s="247"/>
      <c r="B229" s="303" t="s">
        <v>447</v>
      </c>
      <c r="C229" s="258" t="s">
        <v>478</v>
      </c>
      <c r="D229" s="259" t="s">
        <v>1825</v>
      </c>
      <c r="E229" s="258" t="s">
        <v>1826</v>
      </c>
      <c r="F229" s="304" t="s">
        <v>1826</v>
      </c>
      <c r="G229" s="258"/>
      <c r="H229" s="259"/>
    </row>
    <row r="230" spans="1:8" ht="11.1" customHeight="1" x14ac:dyDescent="0.2">
      <c r="A230" s="247"/>
      <c r="B230" s="305" t="s">
        <v>432</v>
      </c>
      <c r="C230" s="307" t="s">
        <v>433</v>
      </c>
      <c r="D230" s="306" t="s">
        <v>1827</v>
      </c>
      <c r="E230" s="307" t="s">
        <v>1828</v>
      </c>
      <c r="F230" s="308" t="s">
        <v>1828</v>
      </c>
      <c r="G230" s="258"/>
      <c r="H230" s="259"/>
    </row>
    <row r="231" spans="1:8" ht="11.1" customHeight="1" x14ac:dyDescent="0.2">
      <c r="A231" s="247"/>
      <c r="B231" s="303" t="s">
        <v>537</v>
      </c>
      <c r="C231" s="258" t="s">
        <v>543</v>
      </c>
      <c r="D231" s="259" t="s">
        <v>1829</v>
      </c>
      <c r="E231" s="258" t="s">
        <v>1830</v>
      </c>
      <c r="F231" s="304" t="s">
        <v>1831</v>
      </c>
      <c r="G231" s="258"/>
      <c r="H231" s="259"/>
    </row>
    <row r="232" spans="1:8" ht="11.1" customHeight="1" x14ac:dyDescent="0.2">
      <c r="A232" s="247"/>
      <c r="B232" s="305" t="s">
        <v>447</v>
      </c>
      <c r="C232" s="307" t="s">
        <v>462</v>
      </c>
      <c r="D232" s="306" t="s">
        <v>1832</v>
      </c>
      <c r="E232" s="307" t="s">
        <v>1833</v>
      </c>
      <c r="F232" s="308" t="s">
        <v>1833</v>
      </c>
      <c r="G232" s="258"/>
      <c r="H232" s="259"/>
    </row>
    <row r="233" spans="1:8" ht="11.1" customHeight="1" x14ac:dyDescent="0.2">
      <c r="A233" s="247"/>
      <c r="B233" s="303" t="s">
        <v>537</v>
      </c>
      <c r="C233" s="258" t="s">
        <v>543</v>
      </c>
      <c r="D233" s="259" t="s">
        <v>1834</v>
      </c>
      <c r="E233" s="258" t="s">
        <v>1835</v>
      </c>
      <c r="F233" s="304" t="s">
        <v>1835</v>
      </c>
      <c r="G233" s="258"/>
      <c r="H233" s="259"/>
    </row>
    <row r="234" spans="1:8" ht="11.1" customHeight="1" x14ac:dyDescent="0.2">
      <c r="A234" s="247"/>
      <c r="B234" s="305" t="s">
        <v>447</v>
      </c>
      <c r="C234" s="307" t="s">
        <v>487</v>
      </c>
      <c r="D234" s="306" t="s">
        <v>1836</v>
      </c>
      <c r="E234" s="307" t="s">
        <v>1837</v>
      </c>
      <c r="F234" s="308" t="s">
        <v>1837</v>
      </c>
      <c r="G234" s="258"/>
      <c r="H234" s="259"/>
    </row>
    <row r="235" spans="1:8" ht="11.1" customHeight="1" x14ac:dyDescent="0.2">
      <c r="A235" s="247"/>
      <c r="B235" s="303" t="s">
        <v>447</v>
      </c>
      <c r="C235" s="258" t="s">
        <v>475</v>
      </c>
      <c r="D235" s="259" t="s">
        <v>1838</v>
      </c>
      <c r="E235" s="258" t="s">
        <v>1839</v>
      </c>
      <c r="F235" s="304" t="s">
        <v>1840</v>
      </c>
      <c r="G235" s="258"/>
      <c r="H235" s="259"/>
    </row>
    <row r="236" spans="1:8" ht="11.1" customHeight="1" x14ac:dyDescent="0.2">
      <c r="A236" s="247"/>
      <c r="B236" s="305" t="s">
        <v>447</v>
      </c>
      <c r="C236" s="307" t="s">
        <v>448</v>
      </c>
      <c r="D236" s="306" t="s">
        <v>1841</v>
      </c>
      <c r="E236" s="307" t="s">
        <v>1842</v>
      </c>
      <c r="F236" s="308" t="s">
        <v>1842</v>
      </c>
      <c r="G236" s="258"/>
      <c r="H236" s="259"/>
    </row>
    <row r="237" spans="1:8" ht="11.1" customHeight="1" x14ac:dyDescent="0.2">
      <c r="A237" s="247"/>
      <c r="B237" s="303" t="s">
        <v>447</v>
      </c>
      <c r="C237" s="258" t="s">
        <v>475</v>
      </c>
      <c r="D237" s="259" t="s">
        <v>1843</v>
      </c>
      <c r="E237" s="258" t="s">
        <v>1844</v>
      </c>
      <c r="F237" s="304" t="s">
        <v>1844</v>
      </c>
      <c r="G237" s="258"/>
      <c r="H237" s="259"/>
    </row>
    <row r="238" spans="1:8" ht="11.1" customHeight="1" x14ac:dyDescent="0.2">
      <c r="A238" s="247"/>
      <c r="B238" s="305" t="s">
        <v>537</v>
      </c>
      <c r="C238" s="307" t="s">
        <v>543</v>
      </c>
      <c r="D238" s="306" t="s">
        <v>1845</v>
      </c>
      <c r="E238" s="307" t="s">
        <v>1846</v>
      </c>
      <c r="F238" s="308" t="s">
        <v>1846</v>
      </c>
      <c r="G238" s="258"/>
      <c r="H238" s="259"/>
    </row>
    <row r="239" spans="1:8" ht="11.1" customHeight="1" x14ac:dyDescent="0.2">
      <c r="A239" s="247"/>
      <c r="B239" s="303" t="s">
        <v>447</v>
      </c>
      <c r="C239" s="258" t="s">
        <v>448</v>
      </c>
      <c r="D239" s="259" t="s">
        <v>1847</v>
      </c>
      <c r="E239" s="258" t="s">
        <v>1848</v>
      </c>
      <c r="F239" s="304" t="s">
        <v>1848</v>
      </c>
      <c r="G239" s="258"/>
      <c r="H239" s="259"/>
    </row>
    <row r="240" spans="1:8" ht="11.1" customHeight="1" x14ac:dyDescent="0.2">
      <c r="A240" s="247"/>
      <c r="B240" s="305" t="s">
        <v>447</v>
      </c>
      <c r="C240" s="307" t="s">
        <v>475</v>
      </c>
      <c r="D240" s="306" t="s">
        <v>1849</v>
      </c>
      <c r="E240" s="307" t="s">
        <v>1850</v>
      </c>
      <c r="F240" s="308" t="s">
        <v>1850</v>
      </c>
      <c r="G240" s="258"/>
      <c r="H240" s="259"/>
    </row>
    <row r="241" spans="1:8" ht="11.1" customHeight="1" x14ac:dyDescent="0.2">
      <c r="A241" s="247"/>
      <c r="B241" s="303" t="s">
        <v>537</v>
      </c>
      <c r="C241" s="258" t="s">
        <v>543</v>
      </c>
      <c r="D241" s="259" t="s">
        <v>1851</v>
      </c>
      <c r="E241" s="258" t="s">
        <v>1852</v>
      </c>
      <c r="F241" s="304" t="s">
        <v>1852</v>
      </c>
      <c r="G241" s="258"/>
      <c r="H241" s="259"/>
    </row>
    <row r="242" spans="1:8" ht="11.1" customHeight="1" x14ac:dyDescent="0.2">
      <c r="A242" s="247"/>
      <c r="B242" s="305" t="s">
        <v>447</v>
      </c>
      <c r="C242" s="307" t="s">
        <v>1526</v>
      </c>
      <c r="D242" s="306" t="s">
        <v>1853</v>
      </c>
      <c r="E242" s="307" t="s">
        <v>1854</v>
      </c>
      <c r="F242" s="308" t="s">
        <v>1854</v>
      </c>
      <c r="G242" s="258"/>
      <c r="H242" s="259"/>
    </row>
    <row r="243" spans="1:8" ht="11.1" customHeight="1" x14ac:dyDescent="0.2">
      <c r="A243" s="247"/>
      <c r="B243" s="303" t="s">
        <v>447</v>
      </c>
      <c r="C243" s="258" t="s">
        <v>475</v>
      </c>
      <c r="D243" s="259" t="s">
        <v>1855</v>
      </c>
      <c r="E243" s="258" t="s">
        <v>1856</v>
      </c>
      <c r="F243" s="304" t="s">
        <v>1856</v>
      </c>
      <c r="G243" s="258"/>
      <c r="H243" s="259"/>
    </row>
    <row r="244" spans="1:8" ht="11.1" customHeight="1" x14ac:dyDescent="0.2">
      <c r="A244" s="247"/>
      <c r="B244" s="305" t="s">
        <v>447</v>
      </c>
      <c r="C244" s="307" t="s">
        <v>465</v>
      </c>
      <c r="D244" s="306" t="s">
        <v>1857</v>
      </c>
      <c r="E244" s="307" t="s">
        <v>1858</v>
      </c>
      <c r="F244" s="308" t="s">
        <v>1858</v>
      </c>
      <c r="G244" s="258"/>
      <c r="H244" s="259"/>
    </row>
    <row r="245" spans="1:8" ht="11.1" customHeight="1" x14ac:dyDescent="0.2">
      <c r="A245" s="247"/>
      <c r="B245" s="303" t="s">
        <v>447</v>
      </c>
      <c r="C245" s="258" t="s">
        <v>465</v>
      </c>
      <c r="D245" s="259" t="s">
        <v>1859</v>
      </c>
      <c r="E245" s="258" t="s">
        <v>1860</v>
      </c>
      <c r="F245" s="304" t="s">
        <v>1860</v>
      </c>
      <c r="G245" s="258"/>
      <c r="H245" s="259"/>
    </row>
    <row r="246" spans="1:8" ht="11.1" customHeight="1" x14ac:dyDescent="0.2">
      <c r="A246" s="247"/>
      <c r="B246" s="305" t="s">
        <v>609</v>
      </c>
      <c r="C246" s="307" t="s">
        <v>640</v>
      </c>
      <c r="D246" s="306" t="s">
        <v>1861</v>
      </c>
      <c r="E246" s="307" t="s">
        <v>1862</v>
      </c>
      <c r="F246" s="308" t="s">
        <v>1862</v>
      </c>
      <c r="G246" s="258"/>
      <c r="H246" s="259"/>
    </row>
    <row r="247" spans="1:8" ht="11.1" customHeight="1" x14ac:dyDescent="0.2">
      <c r="A247" s="247"/>
      <c r="B247" s="303" t="s">
        <v>393</v>
      </c>
      <c r="C247" s="258" t="s">
        <v>416</v>
      </c>
      <c r="D247" s="259" t="s">
        <v>1863</v>
      </c>
      <c r="E247" s="258" t="s">
        <v>1864</v>
      </c>
      <c r="F247" s="304" t="s">
        <v>1864</v>
      </c>
      <c r="G247" s="258"/>
      <c r="H247" s="259"/>
    </row>
    <row r="248" spans="1:8" ht="11.1" customHeight="1" x14ac:dyDescent="0.2">
      <c r="A248" s="247"/>
      <c r="B248" s="305" t="s">
        <v>447</v>
      </c>
      <c r="C248" s="307" t="s">
        <v>475</v>
      </c>
      <c r="D248" s="306" t="s">
        <v>1865</v>
      </c>
      <c r="E248" s="307" t="s">
        <v>1866</v>
      </c>
      <c r="F248" s="308" t="s">
        <v>1866</v>
      </c>
      <c r="G248" s="258"/>
      <c r="H248" s="259"/>
    </row>
    <row r="249" spans="1:8" ht="11.1" customHeight="1" x14ac:dyDescent="0.2">
      <c r="A249" s="247"/>
      <c r="B249" s="303" t="s">
        <v>447</v>
      </c>
      <c r="C249" s="258" t="s">
        <v>454</v>
      </c>
      <c r="D249" s="259" t="s">
        <v>1867</v>
      </c>
      <c r="E249" s="258" t="s">
        <v>1868</v>
      </c>
      <c r="F249" s="304" t="s">
        <v>1868</v>
      </c>
      <c r="G249" s="258"/>
      <c r="H249" s="259"/>
    </row>
    <row r="250" spans="1:8" ht="11.1" customHeight="1" x14ac:dyDescent="0.2">
      <c r="A250" s="247"/>
      <c r="B250" s="305" t="s">
        <v>447</v>
      </c>
      <c r="C250" s="307" t="s">
        <v>1610</v>
      </c>
      <c r="D250" s="306" t="s">
        <v>1869</v>
      </c>
      <c r="E250" s="307" t="s">
        <v>1870</v>
      </c>
      <c r="F250" s="308" t="s">
        <v>1870</v>
      </c>
      <c r="G250" s="258"/>
      <c r="H250" s="259"/>
    </row>
    <row r="251" spans="1:8" ht="11.1" customHeight="1" x14ac:dyDescent="0.2">
      <c r="A251" s="247"/>
      <c r="B251" s="303" t="s">
        <v>447</v>
      </c>
      <c r="C251" s="258" t="s">
        <v>475</v>
      </c>
      <c r="D251" s="259" t="s">
        <v>1871</v>
      </c>
      <c r="E251" s="258" t="s">
        <v>1872</v>
      </c>
      <c r="F251" s="304" t="s">
        <v>1873</v>
      </c>
      <c r="G251" s="258"/>
      <c r="H251" s="259"/>
    </row>
    <row r="252" spans="1:8" ht="11.1" customHeight="1" x14ac:dyDescent="0.2">
      <c r="A252" s="247"/>
      <c r="B252" s="305" t="s">
        <v>432</v>
      </c>
      <c r="C252" s="307" t="s">
        <v>433</v>
      </c>
      <c r="D252" s="306" t="s">
        <v>1874</v>
      </c>
      <c r="E252" s="307" t="s">
        <v>1875</v>
      </c>
      <c r="F252" s="308" t="s">
        <v>1876</v>
      </c>
      <c r="G252" s="258"/>
      <c r="H252" s="259"/>
    </row>
    <row r="253" spans="1:8" ht="11.1" customHeight="1" x14ac:dyDescent="0.2">
      <c r="A253" s="247"/>
      <c r="B253" s="303" t="s">
        <v>447</v>
      </c>
      <c r="C253" s="258" t="s">
        <v>1610</v>
      </c>
      <c r="D253" s="259" t="s">
        <v>1877</v>
      </c>
      <c r="E253" s="258" t="s">
        <v>1878</v>
      </c>
      <c r="F253" s="304" t="s">
        <v>1878</v>
      </c>
      <c r="G253" s="258"/>
      <c r="H253" s="259"/>
    </row>
    <row r="254" spans="1:8" ht="11.1" customHeight="1" x14ac:dyDescent="0.2">
      <c r="A254" s="247"/>
      <c r="B254" s="305" t="s">
        <v>447</v>
      </c>
      <c r="C254" s="307" t="s">
        <v>748</v>
      </c>
      <c r="D254" s="306" t="s">
        <v>1879</v>
      </c>
      <c r="E254" s="307" t="s">
        <v>1880</v>
      </c>
      <c r="F254" s="308" t="s">
        <v>1880</v>
      </c>
      <c r="G254" s="258"/>
      <c r="H254" s="259"/>
    </row>
    <row r="255" spans="1:8" ht="11.1" customHeight="1" x14ac:dyDescent="0.2">
      <c r="A255" s="247"/>
      <c r="B255" s="303" t="s">
        <v>447</v>
      </c>
      <c r="C255" s="258" t="s">
        <v>478</v>
      </c>
      <c r="D255" s="259" t="s">
        <v>1881</v>
      </c>
      <c r="E255" s="258" t="s">
        <v>1882</v>
      </c>
      <c r="F255" s="304" t="s">
        <v>1882</v>
      </c>
      <c r="G255" s="258"/>
      <c r="H255" s="259"/>
    </row>
    <row r="256" spans="1:8" ht="11.1" customHeight="1" x14ac:dyDescent="0.2">
      <c r="A256" s="247"/>
      <c r="B256" s="305" t="s">
        <v>447</v>
      </c>
      <c r="C256" s="307" t="s">
        <v>1610</v>
      </c>
      <c r="D256" s="306" t="s">
        <v>1883</v>
      </c>
      <c r="E256" s="307" t="s">
        <v>1884</v>
      </c>
      <c r="F256" s="308" t="s">
        <v>1884</v>
      </c>
      <c r="G256" s="258"/>
      <c r="H256" s="259"/>
    </row>
    <row r="257" spans="1:8" ht="11.1" customHeight="1" x14ac:dyDescent="0.2">
      <c r="A257" s="247"/>
      <c r="B257" s="303" t="s">
        <v>447</v>
      </c>
      <c r="C257" s="258" t="s">
        <v>472</v>
      </c>
      <c r="D257" s="259" t="s">
        <v>1885</v>
      </c>
      <c r="E257" s="258" t="s">
        <v>1886</v>
      </c>
      <c r="F257" s="304" t="s">
        <v>1887</v>
      </c>
      <c r="G257" s="258"/>
      <c r="H257" s="259"/>
    </row>
    <row r="258" spans="1:8" ht="11.1" customHeight="1" x14ac:dyDescent="0.2">
      <c r="A258" s="247"/>
      <c r="B258" s="305" t="s">
        <v>537</v>
      </c>
      <c r="C258" s="307" t="s">
        <v>543</v>
      </c>
      <c r="D258" s="306" t="s">
        <v>1888</v>
      </c>
      <c r="E258" s="307" t="s">
        <v>1889</v>
      </c>
      <c r="F258" s="308" t="s">
        <v>1889</v>
      </c>
      <c r="G258" s="258"/>
      <c r="H258" s="259"/>
    </row>
    <row r="259" spans="1:8" ht="11.1" customHeight="1" x14ac:dyDescent="0.2">
      <c r="A259" s="247"/>
      <c r="B259" s="303" t="s">
        <v>447</v>
      </c>
      <c r="C259" s="258" t="s">
        <v>462</v>
      </c>
      <c r="D259" s="259" t="s">
        <v>1890</v>
      </c>
      <c r="E259" s="258" t="s">
        <v>1891</v>
      </c>
      <c r="F259" s="304" t="s">
        <v>1891</v>
      </c>
      <c r="G259" s="258"/>
      <c r="H259" s="259"/>
    </row>
    <row r="260" spans="1:8" ht="11.1" customHeight="1" x14ac:dyDescent="0.2">
      <c r="A260" s="247"/>
      <c r="B260" s="305" t="s">
        <v>505</v>
      </c>
      <c r="C260" s="307" t="s">
        <v>511</v>
      </c>
      <c r="D260" s="306" t="s">
        <v>1892</v>
      </c>
      <c r="E260" s="307" t="s">
        <v>1893</v>
      </c>
      <c r="F260" s="308" t="s">
        <v>1893</v>
      </c>
      <c r="G260" s="258"/>
      <c r="H260" s="259"/>
    </row>
    <row r="261" spans="1:8" ht="11.1" customHeight="1" x14ac:dyDescent="0.2">
      <c r="A261" s="247"/>
      <c r="B261" s="303" t="s">
        <v>609</v>
      </c>
      <c r="C261" s="258" t="s">
        <v>610</v>
      </c>
      <c r="D261" s="259" t="s">
        <v>854</v>
      </c>
      <c r="E261" s="258" t="s">
        <v>1894</v>
      </c>
      <c r="F261" s="304" t="s">
        <v>1894</v>
      </c>
      <c r="G261" s="258"/>
      <c r="H261" s="259"/>
    </row>
    <row r="262" spans="1:8" ht="11.1" customHeight="1" x14ac:dyDescent="0.2">
      <c r="A262" s="247"/>
      <c r="B262" s="305" t="s">
        <v>537</v>
      </c>
      <c r="C262" s="307" t="s">
        <v>540</v>
      </c>
      <c r="D262" s="306" t="s">
        <v>1895</v>
      </c>
      <c r="E262" s="307" t="s">
        <v>1896</v>
      </c>
      <c r="F262" s="308" t="s">
        <v>1896</v>
      </c>
      <c r="G262" s="258"/>
      <c r="H262" s="259"/>
    </row>
    <row r="263" spans="1:8" ht="11.1" customHeight="1" x14ac:dyDescent="0.2">
      <c r="A263" s="247"/>
      <c r="B263" s="303" t="s">
        <v>447</v>
      </c>
      <c r="C263" s="258" t="s">
        <v>459</v>
      </c>
      <c r="D263" s="259" t="s">
        <v>1897</v>
      </c>
      <c r="E263" s="258" t="s">
        <v>1898</v>
      </c>
      <c r="F263" s="304" t="s">
        <v>1898</v>
      </c>
      <c r="G263" s="258"/>
      <c r="H263" s="259"/>
    </row>
    <row r="264" spans="1:8" ht="11.1" customHeight="1" x14ac:dyDescent="0.2">
      <c r="A264" s="247"/>
      <c r="B264" s="305" t="s">
        <v>447</v>
      </c>
      <c r="C264" s="307" t="s">
        <v>500</v>
      </c>
      <c r="D264" s="306" t="s">
        <v>1899</v>
      </c>
      <c r="E264" s="307" t="s">
        <v>1900</v>
      </c>
      <c r="F264" s="308" t="s">
        <v>1900</v>
      </c>
      <c r="G264" s="258"/>
      <c r="H264" s="259"/>
    </row>
    <row r="265" spans="1:8" ht="11.1" customHeight="1" x14ac:dyDescent="0.2">
      <c r="A265" s="247"/>
      <c r="B265" s="303" t="s">
        <v>432</v>
      </c>
      <c r="C265" s="258" t="s">
        <v>437</v>
      </c>
      <c r="D265" s="259" t="s">
        <v>1901</v>
      </c>
      <c r="E265" s="258" t="s">
        <v>1902</v>
      </c>
      <c r="F265" s="304" t="s">
        <v>1902</v>
      </c>
      <c r="G265" s="258"/>
      <c r="H265" s="259"/>
    </row>
    <row r="266" spans="1:8" ht="11.1" customHeight="1" x14ac:dyDescent="0.2">
      <c r="A266" s="247"/>
      <c r="B266" s="305" t="s">
        <v>447</v>
      </c>
      <c r="C266" s="307" t="s">
        <v>472</v>
      </c>
      <c r="D266" s="306" t="s">
        <v>1903</v>
      </c>
      <c r="E266" s="307" t="s">
        <v>1904</v>
      </c>
      <c r="F266" s="308" t="s">
        <v>1904</v>
      </c>
      <c r="G266" s="258"/>
      <c r="H266" s="259"/>
    </row>
    <row r="267" spans="1:8" ht="11.1" customHeight="1" x14ac:dyDescent="0.2">
      <c r="A267" s="247"/>
      <c r="B267" s="303" t="s">
        <v>447</v>
      </c>
      <c r="C267" s="258" t="s">
        <v>475</v>
      </c>
      <c r="D267" s="259" t="s">
        <v>1905</v>
      </c>
      <c r="E267" s="258" t="s">
        <v>1906</v>
      </c>
      <c r="F267" s="304" t="s">
        <v>1906</v>
      </c>
      <c r="G267" s="258"/>
      <c r="H267" s="259"/>
    </row>
    <row r="268" spans="1:8" ht="11.1" customHeight="1" x14ac:dyDescent="0.2">
      <c r="A268" s="247"/>
      <c r="B268" s="305" t="s">
        <v>447</v>
      </c>
      <c r="C268" s="307" t="s">
        <v>470</v>
      </c>
      <c r="D268" s="306" t="s">
        <v>1907</v>
      </c>
      <c r="E268" s="307" t="s">
        <v>1908</v>
      </c>
      <c r="F268" s="308" t="s">
        <v>1908</v>
      </c>
      <c r="G268" s="258"/>
      <c r="H268" s="259"/>
    </row>
    <row r="269" spans="1:8" ht="11.1" customHeight="1" x14ac:dyDescent="0.2">
      <c r="A269" s="247"/>
      <c r="B269" s="303" t="s">
        <v>393</v>
      </c>
      <c r="C269" s="258" t="s">
        <v>416</v>
      </c>
      <c r="D269" s="259" t="s">
        <v>1909</v>
      </c>
      <c r="E269" s="258" t="s">
        <v>1910</v>
      </c>
      <c r="F269" s="304" t="s">
        <v>1910</v>
      </c>
      <c r="G269" s="258"/>
      <c r="H269" s="259"/>
    </row>
    <row r="270" spans="1:8" ht="11.1" customHeight="1" x14ac:dyDescent="0.2">
      <c r="A270" s="247"/>
      <c r="B270" s="305" t="s">
        <v>505</v>
      </c>
      <c r="C270" s="307" t="s">
        <v>511</v>
      </c>
      <c r="D270" s="306" t="s">
        <v>1911</v>
      </c>
      <c r="E270" s="307" t="s">
        <v>1912</v>
      </c>
      <c r="F270" s="308" t="s">
        <v>1912</v>
      </c>
      <c r="G270" s="258"/>
      <c r="H270" s="259"/>
    </row>
    <row r="271" spans="1:8" ht="11.1" customHeight="1" x14ac:dyDescent="0.2">
      <c r="A271" s="247"/>
      <c r="B271" s="303" t="s">
        <v>447</v>
      </c>
      <c r="C271" s="258" t="s">
        <v>472</v>
      </c>
      <c r="D271" s="259" t="s">
        <v>1913</v>
      </c>
      <c r="E271" s="258" t="s">
        <v>1914</v>
      </c>
      <c r="F271" s="304" t="s">
        <v>1914</v>
      </c>
      <c r="G271" s="258"/>
      <c r="H271" s="259"/>
    </row>
    <row r="272" spans="1:8" ht="11.1" customHeight="1" x14ac:dyDescent="0.2">
      <c r="A272" s="247"/>
      <c r="B272" s="305" t="s">
        <v>447</v>
      </c>
      <c r="C272" s="307" t="s">
        <v>487</v>
      </c>
      <c r="D272" s="306" t="s">
        <v>1915</v>
      </c>
      <c r="E272" s="307" t="s">
        <v>1916</v>
      </c>
      <c r="F272" s="308" t="s">
        <v>1916</v>
      </c>
      <c r="G272" s="258"/>
      <c r="H272" s="259"/>
    </row>
    <row r="273" spans="1:8" ht="11.1" customHeight="1" x14ac:dyDescent="0.2">
      <c r="A273" s="247"/>
      <c r="B273" s="303" t="s">
        <v>447</v>
      </c>
      <c r="C273" s="258" t="s">
        <v>475</v>
      </c>
      <c r="D273" s="259" t="s">
        <v>1917</v>
      </c>
      <c r="E273" s="258" t="s">
        <v>1918</v>
      </c>
      <c r="F273" s="304" t="s">
        <v>1918</v>
      </c>
      <c r="G273" s="258"/>
      <c r="H273" s="259"/>
    </row>
    <row r="274" spans="1:8" ht="11.1" customHeight="1" x14ac:dyDescent="0.2">
      <c r="A274" s="247"/>
      <c r="B274" s="305" t="s">
        <v>432</v>
      </c>
      <c r="C274" s="307" t="s">
        <v>437</v>
      </c>
      <c r="D274" s="306" t="s">
        <v>1919</v>
      </c>
      <c r="E274" s="307" t="s">
        <v>1920</v>
      </c>
      <c r="F274" s="308" t="s">
        <v>1920</v>
      </c>
      <c r="G274" s="258"/>
      <c r="H274" s="259"/>
    </row>
    <row r="275" spans="1:8" ht="11.1" customHeight="1" x14ac:dyDescent="0.2">
      <c r="A275" s="247"/>
      <c r="B275" s="303" t="s">
        <v>537</v>
      </c>
      <c r="C275" s="258" t="s">
        <v>540</v>
      </c>
      <c r="D275" s="259" t="s">
        <v>1921</v>
      </c>
      <c r="E275" s="258" t="s">
        <v>1922</v>
      </c>
      <c r="F275" s="304" t="s">
        <v>1922</v>
      </c>
      <c r="G275" s="258"/>
      <c r="H275" s="259"/>
    </row>
    <row r="276" spans="1:8" ht="11.1" customHeight="1" x14ac:dyDescent="0.2">
      <c r="A276" s="247"/>
      <c r="B276" s="305" t="s">
        <v>393</v>
      </c>
      <c r="C276" s="307" t="s">
        <v>406</v>
      </c>
      <c r="D276" s="306" t="s">
        <v>1923</v>
      </c>
      <c r="E276" s="307" t="s">
        <v>1924</v>
      </c>
      <c r="F276" s="308" t="s">
        <v>1924</v>
      </c>
      <c r="G276" s="258"/>
      <c r="H276" s="259"/>
    </row>
    <row r="277" spans="1:8" ht="11.1" customHeight="1" x14ac:dyDescent="0.2">
      <c r="A277" s="247"/>
      <c r="B277" s="303" t="s">
        <v>537</v>
      </c>
      <c r="C277" s="258" t="s">
        <v>543</v>
      </c>
      <c r="D277" s="259" t="s">
        <v>1925</v>
      </c>
      <c r="E277" s="258" t="s">
        <v>1926</v>
      </c>
      <c r="F277" s="304" t="s">
        <v>1926</v>
      </c>
      <c r="G277" s="258"/>
      <c r="H277" s="259"/>
    </row>
    <row r="278" spans="1:8" ht="11.1" customHeight="1" x14ac:dyDescent="0.2">
      <c r="A278" s="247"/>
      <c r="B278" s="305" t="s">
        <v>447</v>
      </c>
      <c r="C278" s="307" t="s">
        <v>487</v>
      </c>
      <c r="D278" s="306" t="s">
        <v>1927</v>
      </c>
      <c r="E278" s="307" t="s">
        <v>1928</v>
      </c>
      <c r="F278" s="308" t="s">
        <v>1928</v>
      </c>
      <c r="G278" s="258"/>
      <c r="H278" s="259"/>
    </row>
    <row r="279" spans="1:8" ht="11.1" customHeight="1" x14ac:dyDescent="0.2">
      <c r="A279" s="247"/>
      <c r="B279" s="303" t="s">
        <v>447</v>
      </c>
      <c r="C279" s="258" t="s">
        <v>748</v>
      </c>
      <c r="D279" s="259" t="s">
        <v>1929</v>
      </c>
      <c r="E279" s="258" t="s">
        <v>1930</v>
      </c>
      <c r="F279" s="304" t="s">
        <v>1930</v>
      </c>
      <c r="G279" s="258"/>
      <c r="H279" s="259"/>
    </row>
    <row r="280" spans="1:8" ht="11.1" customHeight="1" x14ac:dyDescent="0.2">
      <c r="A280" s="247"/>
      <c r="B280" s="305" t="s">
        <v>432</v>
      </c>
      <c r="C280" s="307" t="s">
        <v>437</v>
      </c>
      <c r="D280" s="306" t="s">
        <v>1931</v>
      </c>
      <c r="E280" s="307" t="s">
        <v>1932</v>
      </c>
      <c r="F280" s="308" t="s">
        <v>1933</v>
      </c>
      <c r="G280" s="258"/>
      <c r="H280" s="259"/>
    </row>
    <row r="281" spans="1:8" ht="11.1" customHeight="1" x14ac:dyDescent="0.2">
      <c r="A281" s="247"/>
      <c r="B281" s="303" t="s">
        <v>393</v>
      </c>
      <c r="C281" s="258" t="s">
        <v>416</v>
      </c>
      <c r="D281" s="259" t="s">
        <v>1934</v>
      </c>
      <c r="E281" s="258" t="s">
        <v>1935</v>
      </c>
      <c r="F281" s="304" t="s">
        <v>1935</v>
      </c>
      <c r="G281" s="258"/>
      <c r="H281" s="259"/>
    </row>
    <row r="282" spans="1:8" ht="11.1" customHeight="1" x14ac:dyDescent="0.2">
      <c r="A282" s="247"/>
      <c r="B282" s="305" t="s">
        <v>537</v>
      </c>
      <c r="C282" s="307" t="s">
        <v>543</v>
      </c>
      <c r="D282" s="306" t="s">
        <v>1936</v>
      </c>
      <c r="E282" s="307" t="s">
        <v>1937</v>
      </c>
      <c r="F282" s="308" t="s">
        <v>1937</v>
      </c>
      <c r="G282" s="258"/>
      <c r="H282" s="259"/>
    </row>
    <row r="283" spans="1:8" ht="11.1" customHeight="1" x14ac:dyDescent="0.2">
      <c r="A283" s="247"/>
      <c r="B283" s="303" t="s">
        <v>447</v>
      </c>
      <c r="C283" s="258" t="s">
        <v>1610</v>
      </c>
      <c r="D283" s="259" t="s">
        <v>1938</v>
      </c>
      <c r="E283" s="258" t="s">
        <v>1939</v>
      </c>
      <c r="F283" s="304" t="s">
        <v>1939</v>
      </c>
      <c r="G283" s="258"/>
      <c r="H283" s="259"/>
    </row>
    <row r="284" spans="1:8" ht="11.1" customHeight="1" x14ac:dyDescent="0.2">
      <c r="A284" s="247"/>
      <c r="B284" s="305" t="s">
        <v>393</v>
      </c>
      <c r="C284" s="307" t="s">
        <v>406</v>
      </c>
      <c r="D284" s="306" t="s">
        <v>1940</v>
      </c>
      <c r="E284" s="307" t="s">
        <v>1941</v>
      </c>
      <c r="F284" s="308" t="s">
        <v>1942</v>
      </c>
      <c r="G284" s="258"/>
      <c r="H284" s="259"/>
    </row>
    <row r="285" spans="1:8" ht="11.1" customHeight="1" x14ac:dyDescent="0.2">
      <c r="A285" s="247"/>
      <c r="B285" s="303" t="s">
        <v>609</v>
      </c>
      <c r="C285" s="258" t="s">
        <v>670</v>
      </c>
      <c r="D285" s="259" t="s">
        <v>1943</v>
      </c>
      <c r="E285" s="258" t="s">
        <v>1944</v>
      </c>
      <c r="F285" s="304" t="s">
        <v>1944</v>
      </c>
      <c r="G285" s="258"/>
      <c r="H285" s="259"/>
    </row>
    <row r="286" spans="1:8" ht="11.1" customHeight="1" x14ac:dyDescent="0.2">
      <c r="A286" s="247"/>
      <c r="B286" s="305" t="s">
        <v>393</v>
      </c>
      <c r="C286" s="307" t="s">
        <v>416</v>
      </c>
      <c r="D286" s="306" t="s">
        <v>1945</v>
      </c>
      <c r="E286" s="307" t="s">
        <v>1946</v>
      </c>
      <c r="F286" s="308" t="s">
        <v>1946</v>
      </c>
      <c r="G286" s="258"/>
      <c r="H286" s="259"/>
    </row>
    <row r="287" spans="1:8" ht="11.1" customHeight="1" x14ac:dyDescent="0.2">
      <c r="A287" s="247"/>
      <c r="B287" s="303" t="s">
        <v>447</v>
      </c>
      <c r="C287" s="258" t="s">
        <v>478</v>
      </c>
      <c r="D287" s="259" t="s">
        <v>1947</v>
      </c>
      <c r="E287" s="258" t="s">
        <v>1948</v>
      </c>
      <c r="F287" s="304" t="s">
        <v>1948</v>
      </c>
      <c r="G287" s="258"/>
      <c r="H287" s="259"/>
    </row>
    <row r="288" spans="1:8" ht="11.1" customHeight="1" x14ac:dyDescent="0.2">
      <c r="A288" s="247"/>
      <c r="B288" s="305" t="s">
        <v>447</v>
      </c>
      <c r="C288" s="307" t="s">
        <v>475</v>
      </c>
      <c r="D288" s="306" t="s">
        <v>1949</v>
      </c>
      <c r="E288" s="307" t="s">
        <v>1950</v>
      </c>
      <c r="F288" s="308" t="s">
        <v>1950</v>
      </c>
      <c r="G288" s="258"/>
      <c r="H288" s="259"/>
    </row>
    <row r="289" spans="1:8" ht="11.1" customHeight="1" x14ac:dyDescent="0.2">
      <c r="A289" s="247"/>
      <c r="B289" s="303" t="s">
        <v>609</v>
      </c>
      <c r="C289" s="258" t="s">
        <v>640</v>
      </c>
      <c r="D289" s="259" t="s">
        <v>1951</v>
      </c>
      <c r="E289" s="258" t="s">
        <v>1952</v>
      </c>
      <c r="F289" s="304" t="s">
        <v>1952</v>
      </c>
      <c r="G289" s="290"/>
      <c r="H289" s="259"/>
    </row>
    <row r="290" spans="1:8" x14ac:dyDescent="0.2">
      <c r="B290" s="305" t="s">
        <v>447</v>
      </c>
      <c r="C290" s="307" t="s">
        <v>1556</v>
      </c>
      <c r="D290" s="306" t="s">
        <v>1953</v>
      </c>
      <c r="E290" s="307" t="s">
        <v>1954</v>
      </c>
      <c r="F290" s="308" t="s">
        <v>1955</v>
      </c>
      <c r="G290" s="258"/>
      <c r="H290" s="259"/>
    </row>
    <row r="291" spans="1:8" x14ac:dyDescent="0.2">
      <c r="B291" s="303" t="s">
        <v>447</v>
      </c>
      <c r="C291" s="258" t="s">
        <v>472</v>
      </c>
      <c r="D291" s="259" t="s">
        <v>1956</v>
      </c>
      <c r="E291" s="258" t="s">
        <v>1957</v>
      </c>
      <c r="F291" s="304" t="s">
        <v>1957</v>
      </c>
      <c r="G291" s="290"/>
      <c r="H291" s="259"/>
    </row>
    <row r="292" spans="1:8" x14ac:dyDescent="0.2">
      <c r="B292" s="305" t="s">
        <v>447</v>
      </c>
      <c r="C292" s="307" t="s">
        <v>451</v>
      </c>
      <c r="D292" s="306" t="s">
        <v>1958</v>
      </c>
      <c r="E292" s="307" t="s">
        <v>1959</v>
      </c>
      <c r="F292" s="308" t="s">
        <v>1960</v>
      </c>
      <c r="G292" s="258"/>
      <c r="H292" s="259"/>
    </row>
    <row r="293" spans="1:8" x14ac:dyDescent="0.2">
      <c r="B293" s="303" t="s">
        <v>537</v>
      </c>
      <c r="C293" s="258" t="s">
        <v>543</v>
      </c>
      <c r="D293" s="259" t="s">
        <v>1961</v>
      </c>
      <c r="E293" s="258" t="s">
        <v>1962</v>
      </c>
      <c r="F293" s="304" t="s">
        <v>1962</v>
      </c>
      <c r="G293" s="290"/>
      <c r="H293" s="259"/>
    </row>
    <row r="294" spans="1:8" x14ac:dyDescent="0.2">
      <c r="B294" s="305" t="s">
        <v>505</v>
      </c>
      <c r="C294" s="307" t="s">
        <v>511</v>
      </c>
      <c r="D294" s="306" t="s">
        <v>1963</v>
      </c>
      <c r="E294" s="307" t="s">
        <v>1964</v>
      </c>
      <c r="F294" s="308" t="s">
        <v>1964</v>
      </c>
      <c r="G294" s="258"/>
      <c r="H294" s="259"/>
    </row>
    <row r="295" spans="1:8" x14ac:dyDescent="0.2">
      <c r="B295" s="303" t="s">
        <v>447</v>
      </c>
      <c r="C295" s="258" t="s">
        <v>475</v>
      </c>
      <c r="D295" s="259" t="s">
        <v>1965</v>
      </c>
      <c r="E295" s="258" t="s">
        <v>1966</v>
      </c>
      <c r="F295" s="304" t="s">
        <v>1967</v>
      </c>
      <c r="G295" s="290"/>
      <c r="H295" s="259"/>
    </row>
    <row r="296" spans="1:8" x14ac:dyDescent="0.2">
      <c r="B296" s="305" t="s">
        <v>505</v>
      </c>
      <c r="C296" s="307" t="s">
        <v>511</v>
      </c>
      <c r="D296" s="306" t="s">
        <v>1968</v>
      </c>
      <c r="E296" s="307" t="s">
        <v>1969</v>
      </c>
      <c r="F296" s="308" t="s">
        <v>1969</v>
      </c>
      <c r="G296" s="258"/>
      <c r="H296" s="259"/>
    </row>
    <row r="297" spans="1:8" x14ac:dyDescent="0.2">
      <c r="B297" s="303" t="s">
        <v>447</v>
      </c>
      <c r="C297" s="258" t="s">
        <v>487</v>
      </c>
      <c r="D297" s="259" t="s">
        <v>1970</v>
      </c>
      <c r="E297" s="258" t="s">
        <v>1971</v>
      </c>
      <c r="F297" s="304" t="s">
        <v>1971</v>
      </c>
      <c r="G297" s="290"/>
      <c r="H297" s="259"/>
    </row>
    <row r="298" spans="1:8" x14ac:dyDescent="0.2">
      <c r="B298" s="305" t="s">
        <v>447</v>
      </c>
      <c r="C298" s="307" t="s">
        <v>475</v>
      </c>
      <c r="D298" s="306" t="s">
        <v>1972</v>
      </c>
      <c r="E298" s="307" t="s">
        <v>1973</v>
      </c>
      <c r="F298" s="308" t="s">
        <v>1973</v>
      </c>
      <c r="G298" s="258"/>
      <c r="H298" s="259"/>
    </row>
    <row r="299" spans="1:8" x14ac:dyDescent="0.2">
      <c r="B299" s="303" t="s">
        <v>393</v>
      </c>
      <c r="C299" s="258" t="s">
        <v>416</v>
      </c>
      <c r="D299" s="259" t="s">
        <v>1974</v>
      </c>
      <c r="E299" s="258" t="s">
        <v>1975</v>
      </c>
      <c r="F299" s="304" t="s">
        <v>1975</v>
      </c>
      <c r="G299" s="290"/>
      <c r="H299" s="259"/>
    </row>
    <row r="300" spans="1:8" x14ac:dyDescent="0.2">
      <c r="B300" s="305" t="s">
        <v>432</v>
      </c>
      <c r="C300" s="307" t="s">
        <v>433</v>
      </c>
      <c r="D300" s="306" t="s">
        <v>1976</v>
      </c>
      <c r="E300" s="307" t="s">
        <v>1977</v>
      </c>
      <c r="F300" s="308" t="s">
        <v>1978</v>
      </c>
      <c r="G300" s="258"/>
      <c r="H300" s="259"/>
    </row>
    <row r="301" spans="1:8" x14ac:dyDescent="0.2">
      <c r="B301" s="303" t="s">
        <v>447</v>
      </c>
      <c r="C301" s="258" t="s">
        <v>1556</v>
      </c>
      <c r="D301" s="259" t="s">
        <v>1979</v>
      </c>
      <c r="E301" s="258" t="s">
        <v>1980</v>
      </c>
      <c r="F301" s="304" t="s">
        <v>1980</v>
      </c>
      <c r="G301" s="290"/>
      <c r="H301" s="259"/>
    </row>
    <row r="302" spans="1:8" x14ac:dyDescent="0.2">
      <c r="B302" s="305" t="s">
        <v>447</v>
      </c>
      <c r="C302" s="307" t="s">
        <v>748</v>
      </c>
      <c r="D302" s="306" t="s">
        <v>1981</v>
      </c>
      <c r="E302" s="307" t="s">
        <v>1982</v>
      </c>
      <c r="F302" s="308" t="s">
        <v>1982</v>
      </c>
      <c r="G302" s="258"/>
      <c r="H302" s="259"/>
    </row>
    <row r="303" spans="1:8" x14ac:dyDescent="0.2">
      <c r="B303" s="303" t="s">
        <v>537</v>
      </c>
      <c r="C303" s="258" t="s">
        <v>540</v>
      </c>
      <c r="D303" s="259" t="s">
        <v>1983</v>
      </c>
      <c r="E303" s="258" t="s">
        <v>1984</v>
      </c>
      <c r="F303" s="304" t="s">
        <v>1984</v>
      </c>
      <c r="G303" s="290"/>
      <c r="H303" s="259"/>
    </row>
    <row r="304" spans="1:8" x14ac:dyDescent="0.2">
      <c r="B304" s="305" t="s">
        <v>447</v>
      </c>
      <c r="C304" s="307" t="s">
        <v>462</v>
      </c>
      <c r="D304" s="306" t="s">
        <v>1985</v>
      </c>
      <c r="E304" s="307" t="s">
        <v>1986</v>
      </c>
      <c r="F304" s="308" t="s">
        <v>1986</v>
      </c>
      <c r="G304" s="258"/>
      <c r="H304" s="259"/>
    </row>
    <row r="305" spans="2:8" x14ac:dyDescent="0.2">
      <c r="B305" s="303" t="s">
        <v>447</v>
      </c>
      <c r="C305" s="258" t="s">
        <v>462</v>
      </c>
      <c r="D305" s="259" t="s">
        <v>1987</v>
      </c>
      <c r="E305" s="258" t="s">
        <v>1988</v>
      </c>
      <c r="F305" s="304" t="s">
        <v>1988</v>
      </c>
      <c r="G305" s="290"/>
      <c r="H305" s="259"/>
    </row>
    <row r="306" spans="2:8" x14ac:dyDescent="0.2">
      <c r="B306" s="305" t="s">
        <v>432</v>
      </c>
      <c r="C306" s="307" t="s">
        <v>433</v>
      </c>
      <c r="D306" s="306" t="s">
        <v>1989</v>
      </c>
      <c r="E306" s="307" t="s">
        <v>1990</v>
      </c>
      <c r="F306" s="308" t="s">
        <v>1990</v>
      </c>
      <c r="G306" s="258"/>
      <c r="H306" s="259"/>
    </row>
    <row r="307" spans="2:8" x14ac:dyDescent="0.2">
      <c r="B307" s="303" t="s">
        <v>393</v>
      </c>
      <c r="C307" s="258" t="s">
        <v>394</v>
      </c>
      <c r="D307" s="259" t="s">
        <v>1991</v>
      </c>
      <c r="E307" s="258" t="s">
        <v>1992</v>
      </c>
      <c r="F307" s="304" t="s">
        <v>1992</v>
      </c>
      <c r="G307" s="290"/>
      <c r="H307" s="259"/>
    </row>
    <row r="308" spans="2:8" x14ac:dyDescent="0.2">
      <c r="B308" s="305" t="s">
        <v>447</v>
      </c>
      <c r="C308" s="307" t="s">
        <v>475</v>
      </c>
      <c r="D308" s="306" t="s">
        <v>1993</v>
      </c>
      <c r="E308" s="307" t="s">
        <v>1994</v>
      </c>
      <c r="F308" s="308" t="s">
        <v>1994</v>
      </c>
      <c r="G308" s="258"/>
      <c r="H308" s="259"/>
    </row>
    <row r="309" spans="2:8" x14ac:dyDescent="0.2">
      <c r="B309" s="303" t="s">
        <v>447</v>
      </c>
      <c r="C309" s="258" t="s">
        <v>475</v>
      </c>
      <c r="D309" s="259" t="s">
        <v>1995</v>
      </c>
      <c r="E309" s="258" t="s">
        <v>1996</v>
      </c>
      <c r="F309" s="304" t="s">
        <v>1996</v>
      </c>
      <c r="G309" s="290"/>
      <c r="H309" s="259"/>
    </row>
    <row r="310" spans="2:8" x14ac:dyDescent="0.2">
      <c r="B310" s="305" t="s">
        <v>432</v>
      </c>
      <c r="C310" s="307" t="s">
        <v>433</v>
      </c>
      <c r="D310" s="306" t="s">
        <v>1997</v>
      </c>
      <c r="E310" s="307" t="s">
        <v>1998</v>
      </c>
      <c r="F310" s="308" t="s">
        <v>1999</v>
      </c>
      <c r="G310" s="258"/>
      <c r="H310" s="259"/>
    </row>
    <row r="311" spans="2:8" x14ac:dyDescent="0.2">
      <c r="B311" s="303" t="s">
        <v>505</v>
      </c>
      <c r="C311" s="258" t="s">
        <v>511</v>
      </c>
      <c r="D311" s="259" t="s">
        <v>2000</v>
      </c>
      <c r="E311" s="258" t="s">
        <v>2001</v>
      </c>
      <c r="F311" s="304" t="s">
        <v>2001</v>
      </c>
    </row>
    <row r="312" spans="2:8" x14ac:dyDescent="0.2">
      <c r="B312" s="305" t="s">
        <v>447</v>
      </c>
      <c r="C312" s="307" t="s">
        <v>500</v>
      </c>
      <c r="D312" s="306" t="s">
        <v>2002</v>
      </c>
      <c r="E312" s="307" t="s">
        <v>2003</v>
      </c>
      <c r="F312" s="308" t="s">
        <v>2003</v>
      </c>
    </row>
    <row r="313" spans="2:8" x14ac:dyDescent="0.2">
      <c r="B313" s="303" t="s">
        <v>447</v>
      </c>
      <c r="C313" s="258" t="s">
        <v>454</v>
      </c>
      <c r="D313" s="259" t="s">
        <v>2004</v>
      </c>
      <c r="E313" s="258" t="s">
        <v>2005</v>
      </c>
      <c r="F313" s="304" t="s">
        <v>2005</v>
      </c>
    </row>
    <row r="314" spans="2:8" x14ac:dyDescent="0.2">
      <c r="B314" s="305" t="s">
        <v>432</v>
      </c>
      <c r="C314" s="307" t="s">
        <v>433</v>
      </c>
      <c r="D314" s="306" t="s">
        <v>2006</v>
      </c>
      <c r="E314" s="307" t="s">
        <v>2007</v>
      </c>
      <c r="F314" s="308" t="s">
        <v>2007</v>
      </c>
    </row>
    <row r="315" spans="2:8" x14ac:dyDescent="0.2">
      <c r="B315" s="303" t="s">
        <v>447</v>
      </c>
      <c r="C315" s="258" t="s">
        <v>465</v>
      </c>
      <c r="D315" s="259" t="s">
        <v>2008</v>
      </c>
      <c r="E315" s="258" t="s">
        <v>2009</v>
      </c>
      <c r="F315" s="304" t="s">
        <v>2009</v>
      </c>
    </row>
    <row r="316" spans="2:8" x14ac:dyDescent="0.2">
      <c r="B316" s="305" t="s">
        <v>537</v>
      </c>
      <c r="C316" s="307" t="s">
        <v>543</v>
      </c>
      <c r="D316" s="306" t="s">
        <v>2010</v>
      </c>
      <c r="E316" s="307" t="s">
        <v>2011</v>
      </c>
      <c r="F316" s="308" t="s">
        <v>2011</v>
      </c>
    </row>
    <row r="317" spans="2:8" x14ac:dyDescent="0.2">
      <c r="B317" s="303" t="s">
        <v>447</v>
      </c>
      <c r="C317" s="258" t="s">
        <v>465</v>
      </c>
      <c r="D317" s="259" t="s">
        <v>2012</v>
      </c>
      <c r="E317" s="258" t="s">
        <v>2013</v>
      </c>
      <c r="F317" s="304" t="s">
        <v>2013</v>
      </c>
    </row>
    <row r="318" spans="2:8" x14ac:dyDescent="0.2">
      <c r="B318" s="305" t="s">
        <v>447</v>
      </c>
      <c r="C318" s="307" t="s">
        <v>478</v>
      </c>
      <c r="D318" s="306" t="s">
        <v>2014</v>
      </c>
      <c r="E318" s="307" t="s">
        <v>2015</v>
      </c>
      <c r="F318" s="308" t="s">
        <v>2015</v>
      </c>
    </row>
    <row r="319" spans="2:8" x14ac:dyDescent="0.2">
      <c r="B319" s="303" t="s">
        <v>447</v>
      </c>
      <c r="C319" s="258" t="s">
        <v>478</v>
      </c>
      <c r="D319" s="259" t="s">
        <v>1010</v>
      </c>
      <c r="E319" s="258" t="s">
        <v>2016</v>
      </c>
      <c r="F319" s="304" t="s">
        <v>2017</v>
      </c>
    </row>
    <row r="320" spans="2:8" x14ac:dyDescent="0.2">
      <c r="B320" s="305" t="s">
        <v>447</v>
      </c>
      <c r="C320" s="307" t="s">
        <v>748</v>
      </c>
      <c r="D320" s="306" t="s">
        <v>2018</v>
      </c>
      <c r="E320" s="307" t="s">
        <v>2019</v>
      </c>
      <c r="F320" s="308" t="s">
        <v>2019</v>
      </c>
    </row>
    <row r="321" spans="2:6" x14ac:dyDescent="0.2">
      <c r="B321" s="303" t="s">
        <v>447</v>
      </c>
      <c r="C321" s="258" t="s">
        <v>475</v>
      </c>
      <c r="D321" s="259" t="s">
        <v>2020</v>
      </c>
      <c r="E321" s="258" t="s">
        <v>2021</v>
      </c>
      <c r="F321" s="304" t="s">
        <v>2021</v>
      </c>
    </row>
    <row r="322" spans="2:6" x14ac:dyDescent="0.2">
      <c r="B322" s="305" t="s">
        <v>537</v>
      </c>
      <c r="C322" s="307" t="s">
        <v>543</v>
      </c>
      <c r="D322" s="306" t="s">
        <v>2022</v>
      </c>
      <c r="E322" s="307" t="s">
        <v>2023</v>
      </c>
      <c r="F322" s="308" t="s">
        <v>2023</v>
      </c>
    </row>
    <row r="323" spans="2:6" x14ac:dyDescent="0.2">
      <c r="B323" s="303" t="s">
        <v>447</v>
      </c>
      <c r="C323" s="258" t="s">
        <v>748</v>
      </c>
      <c r="D323" s="259" t="s">
        <v>2024</v>
      </c>
      <c r="E323" s="258" t="s">
        <v>2025</v>
      </c>
      <c r="F323" s="304" t="s">
        <v>2025</v>
      </c>
    </row>
    <row r="324" spans="2:6" x14ac:dyDescent="0.2">
      <c r="B324" s="305" t="s">
        <v>447</v>
      </c>
      <c r="C324" s="307" t="s">
        <v>478</v>
      </c>
      <c r="D324" s="306" t="s">
        <v>2026</v>
      </c>
      <c r="E324" s="307" t="s">
        <v>2027</v>
      </c>
      <c r="F324" s="308" t="s">
        <v>2027</v>
      </c>
    </row>
    <row r="325" spans="2:6" x14ac:dyDescent="0.2">
      <c r="B325" s="303" t="s">
        <v>447</v>
      </c>
      <c r="C325" s="258" t="s">
        <v>1610</v>
      </c>
      <c r="D325" s="259" t="s">
        <v>2028</v>
      </c>
      <c r="E325" s="258" t="s">
        <v>2029</v>
      </c>
      <c r="F325" s="304" t="s">
        <v>2029</v>
      </c>
    </row>
    <row r="326" spans="2:6" x14ac:dyDescent="0.2">
      <c r="B326" s="305" t="s">
        <v>447</v>
      </c>
      <c r="C326" s="307" t="s">
        <v>459</v>
      </c>
      <c r="D326" s="306" t="s">
        <v>2030</v>
      </c>
      <c r="E326" s="307" t="s">
        <v>2031</v>
      </c>
      <c r="F326" s="308" t="s">
        <v>2031</v>
      </c>
    </row>
    <row r="327" spans="2:6" x14ac:dyDescent="0.2">
      <c r="B327" s="303" t="s">
        <v>447</v>
      </c>
      <c r="C327" s="258" t="s">
        <v>475</v>
      </c>
      <c r="D327" s="259" t="s">
        <v>2032</v>
      </c>
      <c r="E327" s="258" t="s">
        <v>2033</v>
      </c>
      <c r="F327" s="304" t="s">
        <v>2033</v>
      </c>
    </row>
    <row r="328" spans="2:6" x14ac:dyDescent="0.2">
      <c r="B328" s="305" t="s">
        <v>447</v>
      </c>
      <c r="C328" s="307" t="s">
        <v>451</v>
      </c>
      <c r="D328" s="306" t="s">
        <v>2034</v>
      </c>
      <c r="E328" s="307" t="s">
        <v>2035</v>
      </c>
      <c r="F328" s="308" t="s">
        <v>2035</v>
      </c>
    </row>
    <row r="329" spans="2:6" x14ac:dyDescent="0.2">
      <c r="B329" s="303" t="s">
        <v>447</v>
      </c>
      <c r="C329" s="258" t="s">
        <v>748</v>
      </c>
      <c r="D329" s="259" t="s">
        <v>2036</v>
      </c>
      <c r="E329" s="258" t="s">
        <v>2037</v>
      </c>
      <c r="F329" s="304" t="s">
        <v>2037</v>
      </c>
    </row>
    <row r="330" spans="2:6" x14ac:dyDescent="0.2">
      <c r="B330" s="305" t="s">
        <v>432</v>
      </c>
      <c r="C330" s="307" t="s">
        <v>433</v>
      </c>
      <c r="D330" s="306" t="s">
        <v>2038</v>
      </c>
      <c r="E330" s="307" t="s">
        <v>2039</v>
      </c>
      <c r="F330" s="308" t="s">
        <v>2039</v>
      </c>
    </row>
    <row r="331" spans="2:6" x14ac:dyDescent="0.2">
      <c r="B331" s="303" t="s">
        <v>537</v>
      </c>
      <c r="C331" s="258" t="s">
        <v>543</v>
      </c>
      <c r="D331" s="259" t="s">
        <v>2040</v>
      </c>
      <c r="E331" s="258" t="s">
        <v>2041</v>
      </c>
      <c r="F331" s="304" t="s">
        <v>2041</v>
      </c>
    </row>
    <row r="332" spans="2:6" x14ac:dyDescent="0.2">
      <c r="B332" s="305" t="s">
        <v>447</v>
      </c>
      <c r="C332" s="307" t="s">
        <v>470</v>
      </c>
      <c r="D332" s="306" t="s">
        <v>2042</v>
      </c>
      <c r="E332" s="307" t="s">
        <v>2043</v>
      </c>
      <c r="F332" s="308" t="s">
        <v>2043</v>
      </c>
    </row>
    <row r="333" spans="2:6" x14ac:dyDescent="0.2">
      <c r="B333" s="303" t="s">
        <v>447</v>
      </c>
      <c r="C333" s="258" t="s">
        <v>472</v>
      </c>
      <c r="D333" s="259" t="s">
        <v>2044</v>
      </c>
      <c r="E333" s="258" t="s">
        <v>2045</v>
      </c>
      <c r="F333" s="304" t="s">
        <v>2045</v>
      </c>
    </row>
    <row r="334" spans="2:6" x14ac:dyDescent="0.2">
      <c r="B334" s="305" t="s">
        <v>537</v>
      </c>
      <c r="C334" s="307" t="s">
        <v>540</v>
      </c>
      <c r="D334" s="306" t="s">
        <v>2046</v>
      </c>
      <c r="E334" s="307" t="s">
        <v>2047</v>
      </c>
      <c r="F334" s="308" t="s">
        <v>2047</v>
      </c>
    </row>
    <row r="335" spans="2:6" x14ac:dyDescent="0.2">
      <c r="B335" s="303" t="s">
        <v>447</v>
      </c>
      <c r="C335" s="258" t="s">
        <v>470</v>
      </c>
      <c r="D335" s="259" t="s">
        <v>2048</v>
      </c>
      <c r="E335" s="258" t="s">
        <v>2049</v>
      </c>
      <c r="F335" s="304" t="s">
        <v>2049</v>
      </c>
    </row>
    <row r="336" spans="2:6" x14ac:dyDescent="0.2">
      <c r="B336" s="305" t="s">
        <v>609</v>
      </c>
      <c r="C336" s="307" t="s">
        <v>610</v>
      </c>
      <c r="D336" s="306" t="s">
        <v>885</v>
      </c>
      <c r="E336" s="307" t="s">
        <v>2050</v>
      </c>
      <c r="F336" s="308" t="s">
        <v>2051</v>
      </c>
    </row>
    <row r="337" spans="2:6" x14ac:dyDescent="0.2">
      <c r="B337" s="303" t="s">
        <v>432</v>
      </c>
      <c r="C337" s="258" t="s">
        <v>437</v>
      </c>
      <c r="D337" s="259" t="s">
        <v>2052</v>
      </c>
      <c r="E337" s="258" t="s">
        <v>2053</v>
      </c>
      <c r="F337" s="304" t="s">
        <v>2053</v>
      </c>
    </row>
    <row r="338" spans="2:6" x14ac:dyDescent="0.2">
      <c r="B338" s="305" t="s">
        <v>537</v>
      </c>
      <c r="C338" s="307" t="s">
        <v>543</v>
      </c>
      <c r="D338" s="306" t="s">
        <v>2054</v>
      </c>
      <c r="E338" s="307" t="s">
        <v>2055</v>
      </c>
      <c r="F338" s="308" t="s">
        <v>2055</v>
      </c>
    </row>
    <row r="339" spans="2:6" x14ac:dyDescent="0.2">
      <c r="B339" s="303" t="s">
        <v>432</v>
      </c>
      <c r="C339" s="258" t="s">
        <v>433</v>
      </c>
      <c r="D339" s="259" t="s">
        <v>2056</v>
      </c>
      <c r="E339" s="258" t="s">
        <v>2057</v>
      </c>
      <c r="F339" s="304" t="s">
        <v>2057</v>
      </c>
    </row>
    <row r="340" spans="2:6" x14ac:dyDescent="0.2">
      <c r="B340" s="305" t="s">
        <v>447</v>
      </c>
      <c r="C340" s="307" t="s">
        <v>472</v>
      </c>
      <c r="D340" s="306" t="s">
        <v>2058</v>
      </c>
      <c r="E340" s="307" t="s">
        <v>2059</v>
      </c>
      <c r="F340" s="308" t="s">
        <v>2059</v>
      </c>
    </row>
    <row r="341" spans="2:6" x14ac:dyDescent="0.2">
      <c r="B341" s="303" t="s">
        <v>393</v>
      </c>
      <c r="C341" s="258" t="s">
        <v>774</v>
      </c>
      <c r="D341" s="259" t="s">
        <v>981</v>
      </c>
      <c r="E341" s="258" t="s">
        <v>2060</v>
      </c>
      <c r="F341" s="304" t="s">
        <v>2060</v>
      </c>
    </row>
    <row r="342" spans="2:6" x14ac:dyDescent="0.2">
      <c r="B342" s="305" t="s">
        <v>606</v>
      </c>
      <c r="C342" s="307" t="s">
        <v>607</v>
      </c>
      <c r="D342" s="306" t="s">
        <v>2061</v>
      </c>
      <c r="E342" s="307" t="s">
        <v>2062</v>
      </c>
      <c r="F342" s="308" t="s">
        <v>2062</v>
      </c>
    </row>
    <row r="343" spans="2:6" x14ac:dyDescent="0.2">
      <c r="B343" s="303" t="s">
        <v>447</v>
      </c>
      <c r="C343" s="258" t="s">
        <v>470</v>
      </c>
      <c r="D343" s="259" t="s">
        <v>2063</v>
      </c>
      <c r="E343" s="258" t="s">
        <v>2064</v>
      </c>
      <c r="F343" s="304" t="s">
        <v>2064</v>
      </c>
    </row>
    <row r="344" spans="2:6" x14ac:dyDescent="0.2">
      <c r="B344" s="305" t="s">
        <v>447</v>
      </c>
      <c r="C344" s="307" t="s">
        <v>478</v>
      </c>
      <c r="D344" s="306" t="s">
        <v>2065</v>
      </c>
      <c r="E344" s="307" t="s">
        <v>2066</v>
      </c>
      <c r="F344" s="308" t="s">
        <v>2066</v>
      </c>
    </row>
    <row r="345" spans="2:6" x14ac:dyDescent="0.2">
      <c r="B345" s="303" t="s">
        <v>447</v>
      </c>
      <c r="C345" s="258" t="s">
        <v>500</v>
      </c>
      <c r="D345" s="259" t="s">
        <v>2067</v>
      </c>
      <c r="E345" s="258" t="s">
        <v>2068</v>
      </c>
      <c r="F345" s="304" t="s">
        <v>2068</v>
      </c>
    </row>
    <row r="346" spans="2:6" x14ac:dyDescent="0.2">
      <c r="B346" s="305" t="s">
        <v>447</v>
      </c>
      <c r="C346" s="307" t="s">
        <v>478</v>
      </c>
      <c r="D346" s="306" t="s">
        <v>2069</v>
      </c>
      <c r="E346" s="307" t="s">
        <v>2070</v>
      </c>
      <c r="F346" s="308" t="s">
        <v>2070</v>
      </c>
    </row>
    <row r="347" spans="2:6" x14ac:dyDescent="0.2">
      <c r="B347" s="303" t="s">
        <v>447</v>
      </c>
      <c r="C347" s="258" t="s">
        <v>454</v>
      </c>
      <c r="D347" s="259" t="s">
        <v>2071</v>
      </c>
      <c r="E347" s="258" t="s">
        <v>2072</v>
      </c>
      <c r="F347" s="304" t="s">
        <v>2072</v>
      </c>
    </row>
    <row r="348" spans="2:6" x14ac:dyDescent="0.2">
      <c r="B348" s="305" t="s">
        <v>447</v>
      </c>
      <c r="C348" s="307" t="s">
        <v>748</v>
      </c>
      <c r="D348" s="306" t="s">
        <v>2073</v>
      </c>
      <c r="E348" s="307" t="s">
        <v>2074</v>
      </c>
      <c r="F348" s="308" t="s">
        <v>2074</v>
      </c>
    </row>
    <row r="349" spans="2:6" x14ac:dyDescent="0.2">
      <c r="B349" s="303" t="s">
        <v>447</v>
      </c>
      <c r="C349" s="258" t="s">
        <v>448</v>
      </c>
      <c r="D349" s="259" t="s">
        <v>2075</v>
      </c>
      <c r="E349" s="258" t="s">
        <v>2076</v>
      </c>
      <c r="F349" s="304" t="s">
        <v>2077</v>
      </c>
    </row>
    <row r="350" spans="2:6" x14ac:dyDescent="0.2">
      <c r="B350" s="305" t="s">
        <v>447</v>
      </c>
      <c r="C350" s="307" t="s">
        <v>448</v>
      </c>
      <c r="D350" s="306" t="s">
        <v>2078</v>
      </c>
      <c r="E350" s="307" t="s">
        <v>2079</v>
      </c>
      <c r="F350" s="308" t="s">
        <v>2079</v>
      </c>
    </row>
    <row r="351" spans="2:6" x14ac:dyDescent="0.2">
      <c r="B351" s="303" t="s">
        <v>447</v>
      </c>
      <c r="C351" s="258" t="s">
        <v>1610</v>
      </c>
      <c r="D351" s="259" t="s">
        <v>2080</v>
      </c>
      <c r="E351" s="258" t="s">
        <v>2081</v>
      </c>
      <c r="F351" s="304" t="s">
        <v>2081</v>
      </c>
    </row>
    <row r="352" spans="2:6" x14ac:dyDescent="0.2">
      <c r="B352" s="305" t="s">
        <v>505</v>
      </c>
      <c r="C352" s="307" t="s">
        <v>511</v>
      </c>
      <c r="D352" s="306" t="s">
        <v>2082</v>
      </c>
      <c r="E352" s="307" t="s">
        <v>2083</v>
      </c>
      <c r="F352" s="308" t="s">
        <v>2083</v>
      </c>
    </row>
    <row r="353" spans="2:6" x14ac:dyDescent="0.2">
      <c r="B353" s="303" t="s">
        <v>447</v>
      </c>
      <c r="C353" s="258" t="s">
        <v>500</v>
      </c>
      <c r="D353" s="259" t="s">
        <v>2084</v>
      </c>
      <c r="E353" s="258" t="s">
        <v>2085</v>
      </c>
      <c r="F353" s="304" t="s">
        <v>2085</v>
      </c>
    </row>
    <row r="354" spans="2:6" x14ac:dyDescent="0.2">
      <c r="B354" s="305" t="s">
        <v>447</v>
      </c>
      <c r="C354" s="307" t="s">
        <v>459</v>
      </c>
      <c r="D354" s="306" t="s">
        <v>2086</v>
      </c>
      <c r="E354" s="307" t="s">
        <v>2087</v>
      </c>
      <c r="F354" s="308" t="s">
        <v>2087</v>
      </c>
    </row>
    <row r="355" spans="2:6" x14ac:dyDescent="0.2">
      <c r="B355" s="303" t="s">
        <v>447</v>
      </c>
      <c r="C355" s="258" t="s">
        <v>748</v>
      </c>
      <c r="D355" s="259" t="s">
        <v>2088</v>
      </c>
      <c r="E355" s="258" t="s">
        <v>2089</v>
      </c>
      <c r="F355" s="304" t="s">
        <v>2089</v>
      </c>
    </row>
    <row r="356" spans="2:6" x14ac:dyDescent="0.2">
      <c r="B356" s="305" t="s">
        <v>447</v>
      </c>
      <c r="C356" s="307" t="s">
        <v>748</v>
      </c>
      <c r="D356" s="306" t="s">
        <v>1065</v>
      </c>
      <c r="E356" s="307" t="s">
        <v>2090</v>
      </c>
      <c r="F356" s="308" t="s">
        <v>2090</v>
      </c>
    </row>
    <row r="357" spans="2:6" x14ac:dyDescent="0.2">
      <c r="B357" s="303" t="s">
        <v>447</v>
      </c>
      <c r="C357" s="258" t="s">
        <v>1526</v>
      </c>
      <c r="D357" s="259" t="s">
        <v>2091</v>
      </c>
      <c r="E357" s="258" t="s">
        <v>2092</v>
      </c>
      <c r="F357" s="304" t="s">
        <v>2092</v>
      </c>
    </row>
    <row r="358" spans="2:6" x14ac:dyDescent="0.2">
      <c r="B358" s="305" t="s">
        <v>447</v>
      </c>
      <c r="C358" s="307" t="s">
        <v>465</v>
      </c>
      <c r="D358" s="306" t="s">
        <v>2093</v>
      </c>
      <c r="E358" s="307" t="s">
        <v>2094</v>
      </c>
      <c r="F358" s="308" t="s">
        <v>2094</v>
      </c>
    </row>
    <row r="359" spans="2:6" x14ac:dyDescent="0.2">
      <c r="B359" s="303" t="s">
        <v>393</v>
      </c>
      <c r="C359" s="258" t="s">
        <v>406</v>
      </c>
      <c r="D359" s="259" t="s">
        <v>2095</v>
      </c>
      <c r="E359" s="258" t="s">
        <v>2096</v>
      </c>
      <c r="F359" s="304" t="s">
        <v>2096</v>
      </c>
    </row>
    <row r="360" spans="2:6" x14ac:dyDescent="0.2">
      <c r="B360" s="305" t="s">
        <v>447</v>
      </c>
      <c r="C360" s="307" t="s">
        <v>475</v>
      </c>
      <c r="D360" s="306" t="s">
        <v>2097</v>
      </c>
      <c r="E360" s="307" t="s">
        <v>2098</v>
      </c>
      <c r="F360" s="308" t="s">
        <v>2098</v>
      </c>
    </row>
    <row r="361" spans="2:6" x14ac:dyDescent="0.2">
      <c r="B361" s="303" t="s">
        <v>447</v>
      </c>
      <c r="C361" s="258" t="s">
        <v>1526</v>
      </c>
      <c r="D361" s="259" t="s">
        <v>2099</v>
      </c>
      <c r="E361" s="258" t="s">
        <v>2100</v>
      </c>
      <c r="F361" s="304" t="s">
        <v>2100</v>
      </c>
    </row>
    <row r="362" spans="2:6" x14ac:dyDescent="0.2">
      <c r="B362" s="305" t="s">
        <v>447</v>
      </c>
      <c r="C362" s="307" t="s">
        <v>470</v>
      </c>
      <c r="D362" s="306" t="s">
        <v>2101</v>
      </c>
      <c r="E362" s="307" t="s">
        <v>2102</v>
      </c>
      <c r="F362" s="308" t="s">
        <v>2102</v>
      </c>
    </row>
    <row r="363" spans="2:6" x14ac:dyDescent="0.2">
      <c r="B363" s="303" t="s">
        <v>447</v>
      </c>
      <c r="C363" s="258" t="s">
        <v>1526</v>
      </c>
      <c r="D363" s="259" t="s">
        <v>2103</v>
      </c>
      <c r="E363" s="258" t="s">
        <v>2104</v>
      </c>
      <c r="F363" s="304" t="s">
        <v>2104</v>
      </c>
    </row>
    <row r="364" spans="2:6" x14ac:dyDescent="0.2">
      <c r="B364" s="305" t="s">
        <v>432</v>
      </c>
      <c r="C364" s="307" t="s">
        <v>437</v>
      </c>
      <c r="D364" s="306" t="s">
        <v>2105</v>
      </c>
      <c r="E364" s="307" t="s">
        <v>2106</v>
      </c>
      <c r="F364" s="308" t="s">
        <v>2106</v>
      </c>
    </row>
    <row r="365" spans="2:6" x14ac:dyDescent="0.2">
      <c r="B365" s="303" t="s">
        <v>447</v>
      </c>
      <c r="C365" s="258" t="s">
        <v>475</v>
      </c>
      <c r="D365" s="259" t="s">
        <v>2107</v>
      </c>
      <c r="E365" s="258" t="s">
        <v>2108</v>
      </c>
      <c r="F365" s="304" t="s">
        <v>2108</v>
      </c>
    </row>
    <row r="366" spans="2:6" x14ac:dyDescent="0.2">
      <c r="B366" s="305" t="s">
        <v>606</v>
      </c>
      <c r="C366" s="307" t="s">
        <v>607</v>
      </c>
      <c r="D366" s="306" t="s">
        <v>2109</v>
      </c>
      <c r="E366" s="307" t="s">
        <v>2110</v>
      </c>
      <c r="F366" s="308" t="s">
        <v>2110</v>
      </c>
    </row>
    <row r="367" spans="2:6" x14ac:dyDescent="0.2">
      <c r="B367" s="303" t="s">
        <v>447</v>
      </c>
      <c r="C367" s="258" t="s">
        <v>465</v>
      </c>
      <c r="D367" s="259" t="s">
        <v>2111</v>
      </c>
      <c r="E367" s="258" t="s">
        <v>2112</v>
      </c>
      <c r="F367" s="304" t="s">
        <v>2112</v>
      </c>
    </row>
    <row r="368" spans="2:6" x14ac:dyDescent="0.2">
      <c r="B368" s="305" t="s">
        <v>447</v>
      </c>
      <c r="C368" s="307" t="s">
        <v>475</v>
      </c>
      <c r="D368" s="306" t="s">
        <v>2113</v>
      </c>
      <c r="E368" s="307" t="s">
        <v>2114</v>
      </c>
      <c r="F368" s="308" t="s">
        <v>2114</v>
      </c>
    </row>
    <row r="369" spans="2:6" x14ac:dyDescent="0.2">
      <c r="B369" s="303" t="s">
        <v>447</v>
      </c>
      <c r="C369" s="258" t="s">
        <v>748</v>
      </c>
      <c r="D369" s="259" t="s">
        <v>2115</v>
      </c>
      <c r="E369" s="258" t="s">
        <v>2116</v>
      </c>
      <c r="F369" s="304" t="s">
        <v>2116</v>
      </c>
    </row>
    <row r="370" spans="2:6" x14ac:dyDescent="0.2">
      <c r="B370" s="305" t="s">
        <v>505</v>
      </c>
      <c r="C370" s="307" t="s">
        <v>511</v>
      </c>
      <c r="D370" s="306" t="s">
        <v>2117</v>
      </c>
      <c r="E370" s="307" t="s">
        <v>2118</v>
      </c>
      <c r="F370" s="308" t="s">
        <v>2118</v>
      </c>
    </row>
    <row r="371" spans="2:6" x14ac:dyDescent="0.2">
      <c r="B371" s="303" t="s">
        <v>447</v>
      </c>
      <c r="C371" s="258" t="s">
        <v>1556</v>
      </c>
      <c r="D371" s="259" t="s">
        <v>2119</v>
      </c>
      <c r="E371" s="258" t="s">
        <v>2120</v>
      </c>
      <c r="F371" s="304" t="s">
        <v>2120</v>
      </c>
    </row>
    <row r="372" spans="2:6" x14ac:dyDescent="0.2">
      <c r="B372" s="305" t="s">
        <v>505</v>
      </c>
      <c r="C372" s="307" t="s">
        <v>511</v>
      </c>
      <c r="D372" s="306" t="s">
        <v>2121</v>
      </c>
      <c r="E372" s="307" t="s">
        <v>2122</v>
      </c>
      <c r="F372" s="308" t="s">
        <v>2122</v>
      </c>
    </row>
    <row r="373" spans="2:6" x14ac:dyDescent="0.2">
      <c r="B373" s="303" t="s">
        <v>447</v>
      </c>
      <c r="C373" s="258" t="s">
        <v>472</v>
      </c>
      <c r="D373" s="259" t="s">
        <v>2123</v>
      </c>
      <c r="E373" s="258" t="s">
        <v>2124</v>
      </c>
      <c r="F373" s="304" t="s">
        <v>2124</v>
      </c>
    </row>
    <row r="374" spans="2:6" x14ac:dyDescent="0.2">
      <c r="B374" s="305" t="s">
        <v>447</v>
      </c>
      <c r="C374" s="307" t="s">
        <v>478</v>
      </c>
      <c r="D374" s="306" t="s">
        <v>2125</v>
      </c>
      <c r="E374" s="307" t="s">
        <v>2126</v>
      </c>
      <c r="F374" s="308" t="s">
        <v>2126</v>
      </c>
    </row>
    <row r="375" spans="2:6" x14ac:dyDescent="0.2">
      <c r="B375" s="303" t="s">
        <v>432</v>
      </c>
      <c r="C375" s="258" t="s">
        <v>437</v>
      </c>
      <c r="D375" s="259" t="s">
        <v>2127</v>
      </c>
      <c r="E375" s="258" t="s">
        <v>2128</v>
      </c>
      <c r="F375" s="304" t="s">
        <v>2128</v>
      </c>
    </row>
    <row r="376" spans="2:6" x14ac:dyDescent="0.2">
      <c r="B376" s="305" t="s">
        <v>537</v>
      </c>
      <c r="C376" s="307" t="s">
        <v>543</v>
      </c>
      <c r="D376" s="306" t="s">
        <v>2129</v>
      </c>
      <c r="E376" s="307" t="s">
        <v>2130</v>
      </c>
      <c r="F376" s="308" t="s">
        <v>2130</v>
      </c>
    </row>
    <row r="377" spans="2:6" x14ac:dyDescent="0.2">
      <c r="B377" s="303" t="s">
        <v>447</v>
      </c>
      <c r="C377" s="258" t="s">
        <v>487</v>
      </c>
      <c r="D377" s="259" t="s">
        <v>2131</v>
      </c>
      <c r="E377" s="258" t="s">
        <v>2132</v>
      </c>
      <c r="F377" s="304" t="s">
        <v>2132</v>
      </c>
    </row>
    <row r="378" spans="2:6" x14ac:dyDescent="0.2">
      <c r="B378" s="305" t="s">
        <v>447</v>
      </c>
      <c r="C378" s="307" t="s">
        <v>462</v>
      </c>
      <c r="D378" s="306" t="s">
        <v>2133</v>
      </c>
      <c r="E378" s="307" t="s">
        <v>2134</v>
      </c>
      <c r="F378" s="308" t="s">
        <v>2134</v>
      </c>
    </row>
    <row r="379" spans="2:6" x14ac:dyDescent="0.2">
      <c r="B379" s="303" t="s">
        <v>505</v>
      </c>
      <c r="C379" s="258" t="s">
        <v>511</v>
      </c>
      <c r="D379" s="259" t="s">
        <v>2135</v>
      </c>
      <c r="E379" s="258" t="s">
        <v>2136</v>
      </c>
      <c r="F379" s="304" t="s">
        <v>2136</v>
      </c>
    </row>
    <row r="380" spans="2:6" x14ac:dyDescent="0.2">
      <c r="B380" s="305" t="s">
        <v>447</v>
      </c>
      <c r="C380" s="307" t="s">
        <v>1610</v>
      </c>
      <c r="D380" s="306" t="s">
        <v>2137</v>
      </c>
      <c r="E380" s="307" t="s">
        <v>2138</v>
      </c>
      <c r="F380" s="308" t="s">
        <v>2138</v>
      </c>
    </row>
    <row r="381" spans="2:6" x14ac:dyDescent="0.2">
      <c r="B381" s="303" t="s">
        <v>393</v>
      </c>
      <c r="C381" s="258" t="s">
        <v>394</v>
      </c>
      <c r="D381" s="259" t="s">
        <v>2139</v>
      </c>
      <c r="E381" s="258" t="s">
        <v>2140</v>
      </c>
      <c r="F381" s="304" t="s">
        <v>2140</v>
      </c>
    </row>
    <row r="382" spans="2:6" x14ac:dyDescent="0.2">
      <c r="B382" s="305" t="s">
        <v>447</v>
      </c>
      <c r="C382" s="307" t="s">
        <v>478</v>
      </c>
      <c r="D382" s="306" t="s">
        <v>2141</v>
      </c>
      <c r="E382" s="307" t="s">
        <v>2142</v>
      </c>
      <c r="F382" s="308" t="s">
        <v>2142</v>
      </c>
    </row>
    <row r="383" spans="2:6" x14ac:dyDescent="0.2">
      <c r="B383" s="303" t="s">
        <v>447</v>
      </c>
      <c r="C383" s="258" t="s">
        <v>500</v>
      </c>
      <c r="D383" s="259" t="s">
        <v>2143</v>
      </c>
      <c r="E383" s="258" t="s">
        <v>2144</v>
      </c>
      <c r="F383" s="304" t="s">
        <v>2144</v>
      </c>
    </row>
    <row r="384" spans="2:6" x14ac:dyDescent="0.2">
      <c r="B384" s="305" t="s">
        <v>505</v>
      </c>
      <c r="C384" s="307" t="s">
        <v>511</v>
      </c>
      <c r="D384" s="306" t="s">
        <v>2145</v>
      </c>
      <c r="E384" s="307" t="s">
        <v>2146</v>
      </c>
      <c r="F384" s="308" t="s">
        <v>2146</v>
      </c>
    </row>
    <row r="385" spans="2:6" x14ac:dyDescent="0.2">
      <c r="B385" s="303" t="s">
        <v>609</v>
      </c>
      <c r="C385" s="258" t="s">
        <v>610</v>
      </c>
      <c r="D385" s="259" t="s">
        <v>889</v>
      </c>
      <c r="E385" s="258" t="s">
        <v>2147</v>
      </c>
      <c r="F385" s="304" t="s">
        <v>2147</v>
      </c>
    </row>
    <row r="386" spans="2:6" x14ac:dyDescent="0.2">
      <c r="B386" s="305" t="s">
        <v>393</v>
      </c>
      <c r="C386" s="307" t="s">
        <v>394</v>
      </c>
      <c r="D386" s="306" t="s">
        <v>2148</v>
      </c>
      <c r="E386" s="307" t="s">
        <v>2149</v>
      </c>
      <c r="F386" s="308" t="s">
        <v>2149</v>
      </c>
    </row>
    <row r="387" spans="2:6" x14ac:dyDescent="0.2">
      <c r="B387" s="303" t="s">
        <v>505</v>
      </c>
      <c r="C387" s="258" t="s">
        <v>511</v>
      </c>
      <c r="D387" s="259" t="s">
        <v>2150</v>
      </c>
      <c r="E387" s="258" t="s">
        <v>2151</v>
      </c>
      <c r="F387" s="304" t="s">
        <v>2152</v>
      </c>
    </row>
    <row r="388" spans="2:6" x14ac:dyDescent="0.2">
      <c r="B388" s="305" t="s">
        <v>447</v>
      </c>
      <c r="C388" s="307" t="s">
        <v>748</v>
      </c>
      <c r="D388" s="306" t="s">
        <v>2153</v>
      </c>
      <c r="E388" s="307" t="s">
        <v>2154</v>
      </c>
      <c r="F388" s="308" t="s">
        <v>2154</v>
      </c>
    </row>
    <row r="389" spans="2:6" x14ac:dyDescent="0.2">
      <c r="B389" s="303" t="s">
        <v>505</v>
      </c>
      <c r="C389" s="258" t="s">
        <v>511</v>
      </c>
      <c r="D389" s="259" t="s">
        <v>2155</v>
      </c>
      <c r="E389" s="258" t="s">
        <v>2156</v>
      </c>
      <c r="F389" s="304" t="s">
        <v>2156</v>
      </c>
    </row>
    <row r="390" spans="2:6" x14ac:dyDescent="0.2">
      <c r="B390" s="305" t="s">
        <v>432</v>
      </c>
      <c r="C390" s="307" t="s">
        <v>437</v>
      </c>
      <c r="D390" s="306" t="s">
        <v>2157</v>
      </c>
      <c r="E390" s="307" t="s">
        <v>2158</v>
      </c>
      <c r="F390" s="308" t="s">
        <v>2158</v>
      </c>
    </row>
    <row r="391" spans="2:6" x14ac:dyDescent="0.2">
      <c r="B391" s="303" t="s">
        <v>447</v>
      </c>
      <c r="C391" s="258" t="s">
        <v>1556</v>
      </c>
      <c r="D391" s="259" t="s">
        <v>2159</v>
      </c>
      <c r="E391" s="258" t="s">
        <v>2160</v>
      </c>
      <c r="F391" s="304" t="s">
        <v>2160</v>
      </c>
    </row>
    <row r="392" spans="2:6" x14ac:dyDescent="0.2">
      <c r="B392" s="305" t="s">
        <v>447</v>
      </c>
      <c r="C392" s="307" t="s">
        <v>451</v>
      </c>
      <c r="D392" s="306" t="s">
        <v>2161</v>
      </c>
      <c r="E392" s="307" t="s">
        <v>2162</v>
      </c>
      <c r="F392" s="308" t="s">
        <v>2162</v>
      </c>
    </row>
    <row r="393" spans="2:6" x14ac:dyDescent="0.2">
      <c r="B393" s="303" t="s">
        <v>447</v>
      </c>
      <c r="C393" s="258" t="s">
        <v>472</v>
      </c>
      <c r="D393" s="259" t="s">
        <v>2163</v>
      </c>
      <c r="E393" s="258" t="s">
        <v>2164</v>
      </c>
      <c r="F393" s="304" t="s">
        <v>2164</v>
      </c>
    </row>
    <row r="394" spans="2:6" x14ac:dyDescent="0.2">
      <c r="B394" s="305" t="s">
        <v>393</v>
      </c>
      <c r="C394" s="307" t="s">
        <v>394</v>
      </c>
      <c r="D394" s="306" t="s">
        <v>2165</v>
      </c>
      <c r="E394" s="307" t="s">
        <v>2166</v>
      </c>
      <c r="F394" s="308" t="s">
        <v>2166</v>
      </c>
    </row>
    <row r="395" spans="2:6" x14ac:dyDescent="0.2">
      <c r="B395" s="303" t="s">
        <v>447</v>
      </c>
      <c r="C395" s="258" t="s">
        <v>470</v>
      </c>
      <c r="D395" s="259" t="s">
        <v>2167</v>
      </c>
      <c r="E395" s="258" t="s">
        <v>2168</v>
      </c>
      <c r="F395" s="304" t="s">
        <v>2168</v>
      </c>
    </row>
    <row r="396" spans="2:6" x14ac:dyDescent="0.2">
      <c r="B396" s="305" t="s">
        <v>447</v>
      </c>
      <c r="C396" s="307" t="s">
        <v>465</v>
      </c>
      <c r="D396" s="306" t="s">
        <v>2169</v>
      </c>
      <c r="E396" s="307" t="s">
        <v>2170</v>
      </c>
      <c r="F396" s="308" t="s">
        <v>2170</v>
      </c>
    </row>
    <row r="397" spans="2:6" x14ac:dyDescent="0.2">
      <c r="B397" s="303" t="s">
        <v>537</v>
      </c>
      <c r="C397" s="258" t="s">
        <v>543</v>
      </c>
      <c r="D397" s="259" t="s">
        <v>2171</v>
      </c>
      <c r="E397" s="258" t="s">
        <v>2172</v>
      </c>
      <c r="F397" s="304" t="s">
        <v>2172</v>
      </c>
    </row>
    <row r="398" spans="2:6" x14ac:dyDescent="0.2">
      <c r="B398" s="305" t="s">
        <v>537</v>
      </c>
      <c r="C398" s="307" t="s">
        <v>543</v>
      </c>
      <c r="D398" s="306" t="s">
        <v>2173</v>
      </c>
      <c r="E398" s="307" t="s">
        <v>2174</v>
      </c>
      <c r="F398" s="308" t="s">
        <v>2174</v>
      </c>
    </row>
    <row r="399" spans="2:6" x14ac:dyDescent="0.2">
      <c r="B399" s="303" t="s">
        <v>505</v>
      </c>
      <c r="C399" s="258" t="s">
        <v>511</v>
      </c>
      <c r="D399" s="259" t="s">
        <v>2175</v>
      </c>
      <c r="E399" s="258" t="s">
        <v>2176</v>
      </c>
      <c r="F399" s="304" t="s">
        <v>2176</v>
      </c>
    </row>
    <row r="400" spans="2:6" x14ac:dyDescent="0.2">
      <c r="B400" s="305" t="s">
        <v>537</v>
      </c>
      <c r="C400" s="307" t="s">
        <v>543</v>
      </c>
      <c r="D400" s="306" t="s">
        <v>2177</v>
      </c>
      <c r="E400" s="307" t="s">
        <v>2178</v>
      </c>
      <c r="F400" s="308" t="s">
        <v>2178</v>
      </c>
    </row>
    <row r="401" spans="2:6" x14ac:dyDescent="0.2">
      <c r="B401" s="303" t="s">
        <v>447</v>
      </c>
      <c r="C401" s="258" t="s">
        <v>475</v>
      </c>
      <c r="D401" s="259" t="s">
        <v>2179</v>
      </c>
      <c r="E401" s="258" t="s">
        <v>2180</v>
      </c>
      <c r="F401" s="304" t="s">
        <v>2180</v>
      </c>
    </row>
    <row r="402" spans="2:6" x14ac:dyDescent="0.2">
      <c r="B402" s="305" t="s">
        <v>609</v>
      </c>
      <c r="C402" s="307" t="s">
        <v>610</v>
      </c>
      <c r="D402" s="306" t="s">
        <v>2181</v>
      </c>
      <c r="E402" s="307" t="s">
        <v>2182</v>
      </c>
      <c r="F402" s="308" t="s">
        <v>2183</v>
      </c>
    </row>
    <row r="403" spans="2:6" x14ac:dyDescent="0.2">
      <c r="B403" s="303" t="s">
        <v>447</v>
      </c>
      <c r="C403" s="258" t="s">
        <v>478</v>
      </c>
      <c r="D403" s="259" t="s">
        <v>1098</v>
      </c>
      <c r="E403" s="258" t="s">
        <v>2184</v>
      </c>
      <c r="F403" s="304" t="s">
        <v>2184</v>
      </c>
    </row>
    <row r="404" spans="2:6" x14ac:dyDescent="0.2">
      <c r="B404" s="305" t="s">
        <v>393</v>
      </c>
      <c r="C404" s="307" t="s">
        <v>394</v>
      </c>
      <c r="D404" s="306" t="s">
        <v>2185</v>
      </c>
      <c r="E404" s="307" t="s">
        <v>2186</v>
      </c>
      <c r="F404" s="308" t="s">
        <v>2186</v>
      </c>
    </row>
    <row r="405" spans="2:6" x14ac:dyDescent="0.2">
      <c r="B405" s="303" t="s">
        <v>432</v>
      </c>
      <c r="C405" s="258" t="s">
        <v>433</v>
      </c>
      <c r="D405" s="259" t="s">
        <v>2187</v>
      </c>
      <c r="E405" s="258" t="s">
        <v>2188</v>
      </c>
      <c r="F405" s="304" t="s">
        <v>2188</v>
      </c>
    </row>
    <row r="406" spans="2:6" x14ac:dyDescent="0.2">
      <c r="B406" s="305" t="s">
        <v>393</v>
      </c>
      <c r="C406" s="307" t="s">
        <v>394</v>
      </c>
      <c r="D406" s="306" t="s">
        <v>2189</v>
      </c>
      <c r="E406" s="307" t="s">
        <v>2190</v>
      </c>
      <c r="F406" s="308" t="s">
        <v>2191</v>
      </c>
    </row>
    <row r="407" spans="2:6" x14ac:dyDescent="0.2">
      <c r="B407" s="303" t="s">
        <v>393</v>
      </c>
      <c r="C407" s="258" t="s">
        <v>406</v>
      </c>
      <c r="D407" s="259" t="s">
        <v>2192</v>
      </c>
      <c r="E407" s="258" t="s">
        <v>2193</v>
      </c>
      <c r="F407" s="304" t="s">
        <v>2193</v>
      </c>
    </row>
    <row r="408" spans="2:6" x14ac:dyDescent="0.2">
      <c r="B408" s="305" t="s">
        <v>393</v>
      </c>
      <c r="C408" s="307" t="s">
        <v>406</v>
      </c>
      <c r="D408" s="306" t="s">
        <v>2194</v>
      </c>
      <c r="E408" s="307" t="s">
        <v>2195</v>
      </c>
      <c r="F408" s="308" t="s">
        <v>2195</v>
      </c>
    </row>
    <row r="409" spans="2:6" x14ac:dyDescent="0.2">
      <c r="B409" s="303" t="s">
        <v>432</v>
      </c>
      <c r="C409" s="258" t="s">
        <v>437</v>
      </c>
      <c r="D409" s="259" t="s">
        <v>2196</v>
      </c>
      <c r="E409" s="258" t="s">
        <v>2197</v>
      </c>
      <c r="F409" s="304" t="s">
        <v>2197</v>
      </c>
    </row>
    <row r="410" spans="2:6" x14ac:dyDescent="0.2">
      <c r="B410" s="305" t="s">
        <v>393</v>
      </c>
      <c r="C410" s="307" t="s">
        <v>409</v>
      </c>
      <c r="D410" s="306" t="s">
        <v>2198</v>
      </c>
      <c r="E410" s="307" t="s">
        <v>2199</v>
      </c>
      <c r="F410" s="308" t="s">
        <v>2199</v>
      </c>
    </row>
    <row r="411" spans="2:6" x14ac:dyDescent="0.2">
      <c r="B411" s="303" t="s">
        <v>422</v>
      </c>
      <c r="C411" s="258" t="s">
        <v>423</v>
      </c>
      <c r="D411" s="259" t="s">
        <v>2200</v>
      </c>
      <c r="E411" s="258" t="s">
        <v>2201</v>
      </c>
      <c r="F411" s="304" t="s">
        <v>2201</v>
      </c>
    </row>
    <row r="412" spans="2:6" x14ac:dyDescent="0.2">
      <c r="B412" s="305" t="s">
        <v>422</v>
      </c>
      <c r="C412" s="307" t="s">
        <v>423</v>
      </c>
      <c r="D412" s="306" t="s">
        <v>2202</v>
      </c>
      <c r="E412" s="307" t="s">
        <v>2203</v>
      </c>
      <c r="F412" s="308" t="s">
        <v>2203</v>
      </c>
    </row>
    <row r="413" spans="2:6" x14ac:dyDescent="0.2">
      <c r="B413" s="303" t="s">
        <v>505</v>
      </c>
      <c r="C413" s="258" t="s">
        <v>511</v>
      </c>
      <c r="D413" s="259" t="s">
        <v>2204</v>
      </c>
      <c r="E413" s="258" t="s">
        <v>2205</v>
      </c>
      <c r="F413" s="304" t="s">
        <v>2205</v>
      </c>
    </row>
    <row r="414" spans="2:6" x14ac:dyDescent="0.2">
      <c r="B414" s="305" t="s">
        <v>609</v>
      </c>
      <c r="C414" s="307" t="s">
        <v>678</v>
      </c>
      <c r="D414" s="306" t="s">
        <v>2206</v>
      </c>
      <c r="E414" s="307" t="s">
        <v>2207</v>
      </c>
      <c r="F414" s="308" t="s">
        <v>2207</v>
      </c>
    </row>
    <row r="415" spans="2:6" x14ac:dyDescent="0.2">
      <c r="B415" s="303" t="s">
        <v>505</v>
      </c>
      <c r="C415" s="258" t="s">
        <v>511</v>
      </c>
      <c r="D415" s="259" t="s">
        <v>2208</v>
      </c>
      <c r="E415" s="258" t="s">
        <v>2209</v>
      </c>
      <c r="F415" s="304" t="s">
        <v>2209</v>
      </c>
    </row>
    <row r="416" spans="2:6" x14ac:dyDescent="0.2">
      <c r="B416" s="305" t="s">
        <v>447</v>
      </c>
      <c r="C416" s="307" t="s">
        <v>462</v>
      </c>
      <c r="D416" s="306" t="s">
        <v>2210</v>
      </c>
      <c r="E416" s="307" t="s">
        <v>2211</v>
      </c>
      <c r="F416" s="308" t="s">
        <v>2211</v>
      </c>
    </row>
    <row r="417" spans="2:6" x14ac:dyDescent="0.2">
      <c r="B417" s="303" t="s">
        <v>609</v>
      </c>
      <c r="C417" s="258" t="s">
        <v>670</v>
      </c>
      <c r="D417" s="259" t="s">
        <v>2212</v>
      </c>
      <c r="E417" s="258" t="s">
        <v>2213</v>
      </c>
      <c r="F417" s="304" t="s">
        <v>2214</v>
      </c>
    </row>
    <row r="418" spans="2:6" x14ac:dyDescent="0.2">
      <c r="B418" s="305" t="s">
        <v>432</v>
      </c>
      <c r="C418" s="307" t="s">
        <v>437</v>
      </c>
      <c r="D418" s="306" t="s">
        <v>2215</v>
      </c>
      <c r="E418" s="307" t="s">
        <v>2216</v>
      </c>
      <c r="F418" s="308" t="s">
        <v>2216</v>
      </c>
    </row>
    <row r="419" spans="2:6" x14ac:dyDescent="0.2">
      <c r="B419" s="303" t="s">
        <v>505</v>
      </c>
      <c r="C419" s="258" t="s">
        <v>511</v>
      </c>
      <c r="D419" s="259" t="s">
        <v>2217</v>
      </c>
      <c r="E419" s="258" t="s">
        <v>2218</v>
      </c>
      <c r="F419" s="304" t="s">
        <v>2218</v>
      </c>
    </row>
    <row r="420" spans="2:6" x14ac:dyDescent="0.2">
      <c r="B420" s="305" t="s">
        <v>505</v>
      </c>
      <c r="C420" s="307" t="s">
        <v>511</v>
      </c>
      <c r="D420" s="306" t="s">
        <v>2219</v>
      </c>
      <c r="E420" s="307" t="s">
        <v>2220</v>
      </c>
      <c r="F420" s="308" t="s">
        <v>2220</v>
      </c>
    </row>
    <row r="421" spans="2:6" x14ac:dyDescent="0.2">
      <c r="B421" s="303" t="s">
        <v>393</v>
      </c>
      <c r="C421" s="258" t="s">
        <v>406</v>
      </c>
      <c r="D421" s="259" t="s">
        <v>2221</v>
      </c>
      <c r="E421" s="258" t="s">
        <v>2222</v>
      </c>
      <c r="F421" s="304" t="s">
        <v>2222</v>
      </c>
    </row>
    <row r="422" spans="2:6" x14ac:dyDescent="0.2">
      <c r="B422" s="305" t="s">
        <v>447</v>
      </c>
      <c r="C422" s="307" t="s">
        <v>472</v>
      </c>
      <c r="D422" s="306" t="s">
        <v>2223</v>
      </c>
      <c r="E422" s="307" t="s">
        <v>2224</v>
      </c>
      <c r="F422" s="308" t="s">
        <v>2224</v>
      </c>
    </row>
    <row r="423" spans="2:6" x14ac:dyDescent="0.2">
      <c r="B423" s="303" t="s">
        <v>393</v>
      </c>
      <c r="C423" s="258" t="s">
        <v>394</v>
      </c>
      <c r="D423" s="259" t="s">
        <v>2225</v>
      </c>
      <c r="E423" s="258" t="s">
        <v>2226</v>
      </c>
      <c r="F423" s="304" t="s">
        <v>2226</v>
      </c>
    </row>
    <row r="424" spans="2:6" x14ac:dyDescent="0.2">
      <c r="B424" s="305" t="s">
        <v>393</v>
      </c>
      <c r="C424" s="307" t="s">
        <v>394</v>
      </c>
      <c r="D424" s="306" t="s">
        <v>2227</v>
      </c>
      <c r="E424" s="307" t="s">
        <v>2228</v>
      </c>
      <c r="F424" s="308" t="s">
        <v>2228</v>
      </c>
    </row>
    <row r="425" spans="2:6" x14ac:dyDescent="0.2">
      <c r="B425" s="303" t="s">
        <v>609</v>
      </c>
      <c r="C425" s="258" t="s">
        <v>619</v>
      </c>
      <c r="D425" s="259" t="s">
        <v>923</v>
      </c>
      <c r="E425" s="258" t="s">
        <v>2229</v>
      </c>
      <c r="F425" s="304" t="s">
        <v>2230</v>
      </c>
    </row>
    <row r="426" spans="2:6" x14ac:dyDescent="0.2">
      <c r="B426" s="305" t="s">
        <v>505</v>
      </c>
      <c r="C426" s="307" t="s">
        <v>511</v>
      </c>
      <c r="D426" s="306" t="s">
        <v>2231</v>
      </c>
      <c r="E426" s="307" t="s">
        <v>2232</v>
      </c>
      <c r="F426" s="308" t="s">
        <v>2233</v>
      </c>
    </row>
    <row r="427" spans="2:6" x14ac:dyDescent="0.2">
      <c r="B427" s="303" t="s">
        <v>447</v>
      </c>
      <c r="C427" s="258" t="s">
        <v>1610</v>
      </c>
      <c r="D427" s="259" t="s">
        <v>2234</v>
      </c>
      <c r="E427" s="258" t="s">
        <v>2235</v>
      </c>
      <c r="F427" s="304" t="s">
        <v>2236</v>
      </c>
    </row>
    <row r="428" spans="2:6" x14ac:dyDescent="0.2">
      <c r="B428" s="305" t="s">
        <v>609</v>
      </c>
      <c r="C428" s="307" t="s">
        <v>610</v>
      </c>
      <c r="D428" s="306" t="s">
        <v>649</v>
      </c>
      <c r="E428" s="307" t="s">
        <v>2237</v>
      </c>
      <c r="F428" s="308" t="s">
        <v>2237</v>
      </c>
    </row>
    <row r="429" spans="2:6" x14ac:dyDescent="0.2">
      <c r="B429" s="303" t="s">
        <v>393</v>
      </c>
      <c r="C429" s="258" t="s">
        <v>394</v>
      </c>
      <c r="D429" s="259" t="s">
        <v>2238</v>
      </c>
      <c r="E429" s="258" t="s">
        <v>2239</v>
      </c>
      <c r="F429" s="304" t="s">
        <v>2239</v>
      </c>
    </row>
    <row r="430" spans="2:6" x14ac:dyDescent="0.2">
      <c r="B430" s="305" t="s">
        <v>393</v>
      </c>
      <c r="C430" s="307" t="s">
        <v>394</v>
      </c>
      <c r="D430" s="306" t="s">
        <v>1058</v>
      </c>
      <c r="E430" s="307" t="s">
        <v>2240</v>
      </c>
      <c r="F430" s="308" t="s">
        <v>2241</v>
      </c>
    </row>
    <row r="431" spans="2:6" x14ac:dyDescent="0.2">
      <c r="B431" s="303" t="s">
        <v>505</v>
      </c>
      <c r="C431" s="258" t="s">
        <v>511</v>
      </c>
      <c r="D431" s="259" t="s">
        <v>2242</v>
      </c>
      <c r="E431" s="258" t="s">
        <v>2243</v>
      </c>
      <c r="F431" s="304" t="s">
        <v>2243</v>
      </c>
    </row>
    <row r="432" spans="2:6" x14ac:dyDescent="0.2">
      <c r="B432" s="305" t="s">
        <v>393</v>
      </c>
      <c r="C432" s="307" t="s">
        <v>406</v>
      </c>
      <c r="D432" s="306" t="s">
        <v>2244</v>
      </c>
      <c r="E432" s="307" t="s">
        <v>2245</v>
      </c>
      <c r="F432" s="308" t="s">
        <v>2245</v>
      </c>
    </row>
    <row r="433" spans="2:6" x14ac:dyDescent="0.2">
      <c r="B433" s="303" t="s">
        <v>432</v>
      </c>
      <c r="C433" s="258" t="s">
        <v>437</v>
      </c>
      <c r="D433" s="259" t="s">
        <v>2246</v>
      </c>
      <c r="E433" s="258" t="s">
        <v>2247</v>
      </c>
      <c r="F433" s="304" t="s">
        <v>2247</v>
      </c>
    </row>
    <row r="434" spans="2:6" x14ac:dyDescent="0.2">
      <c r="B434" s="305" t="s">
        <v>609</v>
      </c>
      <c r="C434" s="307" t="s">
        <v>610</v>
      </c>
      <c r="D434" s="306" t="s">
        <v>928</v>
      </c>
      <c r="E434" s="307" t="s">
        <v>2248</v>
      </c>
      <c r="F434" s="308" t="s">
        <v>2248</v>
      </c>
    </row>
    <row r="435" spans="2:6" x14ac:dyDescent="0.2">
      <c r="B435" s="303" t="s">
        <v>606</v>
      </c>
      <c r="C435" s="258" t="s">
        <v>607</v>
      </c>
      <c r="D435" s="259" t="s">
        <v>2249</v>
      </c>
      <c r="E435" s="258" t="s">
        <v>2250</v>
      </c>
      <c r="F435" s="304" t="s">
        <v>2250</v>
      </c>
    </row>
    <row r="436" spans="2:6" x14ac:dyDescent="0.2">
      <c r="B436" s="305" t="s">
        <v>447</v>
      </c>
      <c r="C436" s="307" t="s">
        <v>475</v>
      </c>
      <c r="D436" s="306" t="s">
        <v>2251</v>
      </c>
      <c r="E436" s="307" t="s">
        <v>2252</v>
      </c>
      <c r="F436" s="308" t="s">
        <v>2252</v>
      </c>
    </row>
    <row r="437" spans="2:6" x14ac:dyDescent="0.2">
      <c r="B437" s="303" t="s">
        <v>447</v>
      </c>
      <c r="C437" s="258" t="s">
        <v>478</v>
      </c>
      <c r="D437" s="259" t="s">
        <v>1108</v>
      </c>
      <c r="E437" s="258" t="s">
        <v>2253</v>
      </c>
      <c r="F437" s="304" t="s">
        <v>2254</v>
      </c>
    </row>
    <row r="438" spans="2:6" x14ac:dyDescent="0.2">
      <c r="B438" s="305" t="s">
        <v>393</v>
      </c>
      <c r="C438" s="307" t="s">
        <v>394</v>
      </c>
      <c r="D438" s="306" t="s">
        <v>2255</v>
      </c>
      <c r="E438" s="307" t="s">
        <v>2256</v>
      </c>
      <c r="F438" s="308" t="s">
        <v>2256</v>
      </c>
    </row>
    <row r="439" spans="2:6" x14ac:dyDescent="0.2">
      <c r="B439" s="303" t="s">
        <v>393</v>
      </c>
      <c r="C439" s="258" t="s">
        <v>416</v>
      </c>
      <c r="D439" s="259" t="s">
        <v>2257</v>
      </c>
      <c r="E439" s="258" t="s">
        <v>2258</v>
      </c>
      <c r="F439" s="304" t="s">
        <v>2258</v>
      </c>
    </row>
    <row r="440" spans="2:6" x14ac:dyDescent="0.2">
      <c r="B440" s="305" t="s">
        <v>447</v>
      </c>
      <c r="C440" s="307" t="s">
        <v>1556</v>
      </c>
      <c r="D440" s="306" t="s">
        <v>2259</v>
      </c>
      <c r="E440" s="307" t="s">
        <v>2260</v>
      </c>
      <c r="F440" s="308" t="s">
        <v>2260</v>
      </c>
    </row>
    <row r="441" spans="2:6" x14ac:dyDescent="0.2">
      <c r="B441" s="303" t="s">
        <v>447</v>
      </c>
      <c r="C441" s="258" t="s">
        <v>472</v>
      </c>
      <c r="D441" s="259" t="s">
        <v>2261</v>
      </c>
      <c r="E441" s="258" t="s">
        <v>2262</v>
      </c>
      <c r="F441" s="304" t="s">
        <v>2262</v>
      </c>
    </row>
    <row r="442" spans="2:6" x14ac:dyDescent="0.2">
      <c r="B442" s="305" t="s">
        <v>432</v>
      </c>
      <c r="C442" s="307" t="s">
        <v>437</v>
      </c>
      <c r="D442" s="306" t="s">
        <v>2263</v>
      </c>
      <c r="E442" s="307" t="s">
        <v>2264</v>
      </c>
      <c r="F442" s="308" t="s">
        <v>2264</v>
      </c>
    </row>
    <row r="443" spans="2:6" x14ac:dyDescent="0.2">
      <c r="B443" s="303" t="s">
        <v>537</v>
      </c>
      <c r="C443" s="258" t="s">
        <v>543</v>
      </c>
      <c r="D443" s="259" t="s">
        <v>2265</v>
      </c>
      <c r="E443" s="258" t="s">
        <v>2266</v>
      </c>
      <c r="F443" s="304" t="s">
        <v>2267</v>
      </c>
    </row>
    <row r="444" spans="2:6" x14ac:dyDescent="0.2">
      <c r="B444" s="305" t="s">
        <v>505</v>
      </c>
      <c r="C444" s="307" t="s">
        <v>511</v>
      </c>
      <c r="D444" s="306" t="s">
        <v>2268</v>
      </c>
      <c r="E444" s="307" t="s">
        <v>2269</v>
      </c>
      <c r="F444" s="308" t="s">
        <v>2269</v>
      </c>
    </row>
    <row r="445" spans="2:6" x14ac:dyDescent="0.2">
      <c r="B445" s="303" t="s">
        <v>609</v>
      </c>
      <c r="C445" s="258" t="s">
        <v>610</v>
      </c>
      <c r="D445" s="259" t="s">
        <v>931</v>
      </c>
      <c r="E445" s="258" t="s">
        <v>2270</v>
      </c>
      <c r="F445" s="304" t="s">
        <v>2271</v>
      </c>
    </row>
    <row r="446" spans="2:6" x14ac:dyDescent="0.2">
      <c r="B446" s="305" t="s">
        <v>393</v>
      </c>
      <c r="C446" s="307" t="s">
        <v>406</v>
      </c>
      <c r="D446" s="306" t="s">
        <v>2272</v>
      </c>
      <c r="E446" s="307" t="s">
        <v>2273</v>
      </c>
      <c r="F446" s="308" t="s">
        <v>2273</v>
      </c>
    </row>
    <row r="447" spans="2:6" x14ac:dyDescent="0.2">
      <c r="B447" s="303" t="s">
        <v>432</v>
      </c>
      <c r="C447" s="258" t="s">
        <v>433</v>
      </c>
      <c r="D447" s="259" t="s">
        <v>2274</v>
      </c>
      <c r="E447" s="258" t="s">
        <v>2275</v>
      </c>
      <c r="F447" s="304" t="s">
        <v>2275</v>
      </c>
    </row>
    <row r="448" spans="2:6" x14ac:dyDescent="0.2">
      <c r="B448" s="305" t="s">
        <v>447</v>
      </c>
      <c r="C448" s="307" t="s">
        <v>487</v>
      </c>
      <c r="D448" s="306" t="s">
        <v>2276</v>
      </c>
      <c r="E448" s="307" t="s">
        <v>2277</v>
      </c>
      <c r="F448" s="308" t="s">
        <v>2277</v>
      </c>
    </row>
    <row r="449" spans="2:6" x14ac:dyDescent="0.2">
      <c r="B449" s="303" t="s">
        <v>432</v>
      </c>
      <c r="C449" s="258" t="s">
        <v>437</v>
      </c>
      <c r="D449" s="259" t="s">
        <v>2278</v>
      </c>
      <c r="E449" s="258" t="s">
        <v>2279</v>
      </c>
      <c r="F449" s="304" t="s">
        <v>2279</v>
      </c>
    </row>
    <row r="450" spans="2:6" x14ac:dyDescent="0.2">
      <c r="B450" s="305" t="s">
        <v>505</v>
      </c>
      <c r="C450" s="307" t="s">
        <v>511</v>
      </c>
      <c r="D450" s="306" t="s">
        <v>2280</v>
      </c>
      <c r="E450" s="307" t="s">
        <v>2281</v>
      </c>
      <c r="F450" s="308" t="s">
        <v>2281</v>
      </c>
    </row>
    <row r="451" spans="2:6" x14ac:dyDescent="0.2">
      <c r="B451" s="303" t="s">
        <v>447</v>
      </c>
      <c r="C451" s="258" t="s">
        <v>462</v>
      </c>
      <c r="D451" s="259" t="s">
        <v>2282</v>
      </c>
      <c r="E451" s="258" t="s">
        <v>2283</v>
      </c>
      <c r="F451" s="304" t="s">
        <v>2283</v>
      </c>
    </row>
    <row r="452" spans="2:6" x14ac:dyDescent="0.2">
      <c r="B452" s="305" t="s">
        <v>447</v>
      </c>
      <c r="C452" s="307" t="s">
        <v>748</v>
      </c>
      <c r="D452" s="306" t="s">
        <v>2284</v>
      </c>
      <c r="E452" s="307" t="s">
        <v>2285</v>
      </c>
      <c r="F452" s="308" t="s">
        <v>2285</v>
      </c>
    </row>
    <row r="453" spans="2:6" x14ac:dyDescent="0.2">
      <c r="B453" s="303" t="s">
        <v>432</v>
      </c>
      <c r="C453" s="258" t="s">
        <v>437</v>
      </c>
      <c r="D453" s="259" t="s">
        <v>2286</v>
      </c>
      <c r="E453" s="258" t="s">
        <v>2287</v>
      </c>
      <c r="F453" s="304" t="s">
        <v>2287</v>
      </c>
    </row>
    <row r="454" spans="2:6" x14ac:dyDescent="0.2">
      <c r="B454" s="305" t="s">
        <v>447</v>
      </c>
      <c r="C454" s="307" t="s">
        <v>478</v>
      </c>
      <c r="D454" s="306" t="s">
        <v>2288</v>
      </c>
      <c r="E454" s="307" t="s">
        <v>2289</v>
      </c>
      <c r="F454" s="308" t="s">
        <v>2289</v>
      </c>
    </row>
    <row r="455" spans="2:6" x14ac:dyDescent="0.2">
      <c r="B455" s="303" t="s">
        <v>447</v>
      </c>
      <c r="C455" s="258" t="s">
        <v>475</v>
      </c>
      <c r="D455" s="259" t="s">
        <v>2290</v>
      </c>
      <c r="E455" s="258" t="s">
        <v>2291</v>
      </c>
      <c r="F455" s="304" t="s">
        <v>2292</v>
      </c>
    </row>
    <row r="456" spans="2:6" x14ac:dyDescent="0.2">
      <c r="B456" s="305" t="s">
        <v>393</v>
      </c>
      <c r="C456" s="307" t="s">
        <v>394</v>
      </c>
      <c r="D456" s="306" t="s">
        <v>2293</v>
      </c>
      <c r="E456" s="307" t="s">
        <v>2294</v>
      </c>
      <c r="F456" s="308" t="s">
        <v>2294</v>
      </c>
    </row>
    <row r="457" spans="2:6" x14ac:dyDescent="0.2">
      <c r="B457" s="303" t="s">
        <v>609</v>
      </c>
      <c r="C457" s="258" t="s">
        <v>610</v>
      </c>
      <c r="D457" s="259" t="s">
        <v>937</v>
      </c>
      <c r="E457" s="258" t="s">
        <v>2295</v>
      </c>
      <c r="F457" s="304" t="s">
        <v>2295</v>
      </c>
    </row>
    <row r="458" spans="2:6" x14ac:dyDescent="0.2">
      <c r="B458" s="305" t="s">
        <v>432</v>
      </c>
      <c r="C458" s="307" t="s">
        <v>437</v>
      </c>
      <c r="D458" s="306" t="s">
        <v>2296</v>
      </c>
      <c r="E458" s="307" t="s">
        <v>2297</v>
      </c>
      <c r="F458" s="308" t="s">
        <v>2297</v>
      </c>
    </row>
    <row r="459" spans="2:6" x14ac:dyDescent="0.2">
      <c r="B459" s="303" t="s">
        <v>609</v>
      </c>
      <c r="C459" s="258" t="s">
        <v>610</v>
      </c>
      <c r="D459" s="259" t="s">
        <v>943</v>
      </c>
      <c r="E459" s="258" t="s">
        <v>2298</v>
      </c>
      <c r="F459" s="304" t="s">
        <v>2298</v>
      </c>
    </row>
    <row r="460" spans="2:6" x14ac:dyDescent="0.2">
      <c r="B460" s="305" t="s">
        <v>447</v>
      </c>
      <c r="C460" s="307" t="s">
        <v>748</v>
      </c>
      <c r="D460" s="306" t="s">
        <v>2299</v>
      </c>
      <c r="E460" s="307" t="s">
        <v>2300</v>
      </c>
      <c r="F460" s="308" t="s">
        <v>2300</v>
      </c>
    </row>
    <row r="461" spans="2:6" x14ac:dyDescent="0.2">
      <c r="B461" s="303" t="s">
        <v>447</v>
      </c>
      <c r="C461" s="258" t="s">
        <v>475</v>
      </c>
      <c r="D461" s="259" t="s">
        <v>2301</v>
      </c>
      <c r="E461" s="258" t="s">
        <v>2302</v>
      </c>
      <c r="F461" s="304" t="s">
        <v>2302</v>
      </c>
    </row>
    <row r="462" spans="2:6" x14ac:dyDescent="0.2">
      <c r="B462" s="305" t="s">
        <v>609</v>
      </c>
      <c r="C462" s="307" t="s">
        <v>610</v>
      </c>
      <c r="D462" s="306" t="s">
        <v>946</v>
      </c>
      <c r="E462" s="307" t="s">
        <v>2303</v>
      </c>
      <c r="F462" s="308" t="s">
        <v>2303</v>
      </c>
    </row>
    <row r="463" spans="2:6" x14ac:dyDescent="0.2">
      <c r="B463" s="303" t="s">
        <v>537</v>
      </c>
      <c r="C463" s="258" t="s">
        <v>543</v>
      </c>
      <c r="D463" s="259" t="s">
        <v>2304</v>
      </c>
      <c r="E463" s="258" t="s">
        <v>2305</v>
      </c>
      <c r="F463" s="304" t="s">
        <v>2306</v>
      </c>
    </row>
    <row r="464" spans="2:6" x14ac:dyDescent="0.2">
      <c r="B464" s="305" t="s">
        <v>393</v>
      </c>
      <c r="C464" s="307" t="s">
        <v>406</v>
      </c>
      <c r="D464" s="306" t="s">
        <v>2307</v>
      </c>
      <c r="E464" s="307" t="s">
        <v>2308</v>
      </c>
      <c r="F464" s="308" t="s">
        <v>2308</v>
      </c>
    </row>
    <row r="465" spans="2:6" x14ac:dyDescent="0.2">
      <c r="B465" s="303" t="s">
        <v>537</v>
      </c>
      <c r="C465" s="258" t="s">
        <v>543</v>
      </c>
      <c r="D465" s="259" t="s">
        <v>2309</v>
      </c>
      <c r="E465" s="258" t="s">
        <v>2310</v>
      </c>
      <c r="F465" s="304" t="s">
        <v>2310</v>
      </c>
    </row>
    <row r="466" spans="2:6" x14ac:dyDescent="0.2">
      <c r="B466" s="305" t="s">
        <v>609</v>
      </c>
      <c r="C466" s="307" t="s">
        <v>610</v>
      </c>
      <c r="D466" s="306" t="s">
        <v>2311</v>
      </c>
      <c r="E466" s="307" t="s">
        <v>2312</v>
      </c>
      <c r="F466" s="308" t="s">
        <v>2313</v>
      </c>
    </row>
    <row r="467" spans="2:6" x14ac:dyDescent="0.2">
      <c r="B467" s="303" t="s">
        <v>432</v>
      </c>
      <c r="C467" s="258" t="s">
        <v>437</v>
      </c>
      <c r="D467" s="259" t="s">
        <v>2314</v>
      </c>
      <c r="E467" s="258" t="s">
        <v>2315</v>
      </c>
      <c r="F467" s="304" t="s">
        <v>2315</v>
      </c>
    </row>
    <row r="468" spans="2:6" x14ac:dyDescent="0.2">
      <c r="B468" s="305" t="s">
        <v>447</v>
      </c>
      <c r="C468" s="307" t="s">
        <v>1610</v>
      </c>
      <c r="D468" s="306" t="s">
        <v>2316</v>
      </c>
      <c r="E468" s="307" t="s">
        <v>2317</v>
      </c>
      <c r="F468" s="308" t="s">
        <v>2317</v>
      </c>
    </row>
    <row r="469" spans="2:6" x14ac:dyDescent="0.2">
      <c r="B469" s="303" t="s">
        <v>447</v>
      </c>
      <c r="C469" s="258" t="s">
        <v>487</v>
      </c>
      <c r="D469" s="259" t="s">
        <v>2318</v>
      </c>
      <c r="E469" s="258" t="s">
        <v>2319</v>
      </c>
      <c r="F469" s="304" t="s">
        <v>2319</v>
      </c>
    </row>
    <row r="470" spans="2:6" x14ac:dyDescent="0.2">
      <c r="B470" s="305" t="s">
        <v>447</v>
      </c>
      <c r="C470" s="307" t="s">
        <v>748</v>
      </c>
      <c r="D470" s="306" t="s">
        <v>2320</v>
      </c>
      <c r="E470" s="307" t="s">
        <v>2321</v>
      </c>
      <c r="F470" s="308" t="s">
        <v>2321</v>
      </c>
    </row>
    <row r="471" spans="2:6" x14ac:dyDescent="0.2">
      <c r="B471" s="303" t="s">
        <v>447</v>
      </c>
      <c r="C471" s="258" t="s">
        <v>475</v>
      </c>
      <c r="D471" s="259" t="s">
        <v>2322</v>
      </c>
      <c r="E471" s="258" t="s">
        <v>2323</v>
      </c>
      <c r="F471" s="304" t="s">
        <v>2323</v>
      </c>
    </row>
    <row r="472" spans="2:6" x14ac:dyDescent="0.2">
      <c r="B472" s="305" t="s">
        <v>393</v>
      </c>
      <c r="C472" s="307" t="s">
        <v>406</v>
      </c>
      <c r="D472" s="306" t="s">
        <v>2324</v>
      </c>
      <c r="E472" s="307" t="s">
        <v>2325</v>
      </c>
      <c r="F472" s="308" t="s">
        <v>2325</v>
      </c>
    </row>
    <row r="473" spans="2:6" x14ac:dyDescent="0.2">
      <c r="B473" s="303" t="s">
        <v>505</v>
      </c>
      <c r="C473" s="258" t="s">
        <v>511</v>
      </c>
      <c r="D473" s="259" t="s">
        <v>2326</v>
      </c>
      <c r="E473" s="258" t="s">
        <v>2327</v>
      </c>
      <c r="F473" s="304" t="s">
        <v>2327</v>
      </c>
    </row>
    <row r="474" spans="2:6" x14ac:dyDescent="0.2">
      <c r="B474" s="305" t="s">
        <v>432</v>
      </c>
      <c r="C474" s="307" t="s">
        <v>433</v>
      </c>
      <c r="D474" s="306" t="s">
        <v>2328</v>
      </c>
      <c r="E474" s="307" t="s">
        <v>2329</v>
      </c>
      <c r="F474" s="308" t="s">
        <v>2330</v>
      </c>
    </row>
    <row r="475" spans="2:6" x14ac:dyDescent="0.2">
      <c r="B475" s="303" t="s">
        <v>447</v>
      </c>
      <c r="C475" s="258" t="s">
        <v>465</v>
      </c>
      <c r="D475" s="259" t="s">
        <v>2331</v>
      </c>
      <c r="E475" s="258" t="s">
        <v>2332</v>
      </c>
      <c r="F475" s="304" t="s">
        <v>2332</v>
      </c>
    </row>
    <row r="476" spans="2:6" x14ac:dyDescent="0.2">
      <c r="B476" s="305" t="s">
        <v>447</v>
      </c>
      <c r="C476" s="307" t="s">
        <v>748</v>
      </c>
      <c r="D476" s="306" t="s">
        <v>2333</v>
      </c>
      <c r="E476" s="307" t="s">
        <v>2334</v>
      </c>
      <c r="F476" s="308" t="s">
        <v>2334</v>
      </c>
    </row>
    <row r="477" spans="2:6" x14ac:dyDescent="0.2">
      <c r="B477" s="303" t="s">
        <v>537</v>
      </c>
      <c r="C477" s="258" t="s">
        <v>543</v>
      </c>
      <c r="D477" s="259" t="s">
        <v>2335</v>
      </c>
      <c r="E477" s="258" t="s">
        <v>2336</v>
      </c>
      <c r="F477" s="304" t="s">
        <v>2336</v>
      </c>
    </row>
    <row r="478" spans="2:6" x14ac:dyDescent="0.2">
      <c r="B478" s="305" t="s">
        <v>537</v>
      </c>
      <c r="C478" s="307" t="s">
        <v>543</v>
      </c>
      <c r="D478" s="306" t="s">
        <v>1143</v>
      </c>
      <c r="E478" s="307" t="s">
        <v>2337</v>
      </c>
      <c r="F478" s="308" t="s">
        <v>2337</v>
      </c>
    </row>
    <row r="479" spans="2:6" x14ac:dyDescent="0.2">
      <c r="B479" s="303" t="s">
        <v>447</v>
      </c>
      <c r="C479" s="258" t="s">
        <v>748</v>
      </c>
      <c r="D479" s="259" t="s">
        <v>2338</v>
      </c>
      <c r="E479" s="258" t="s">
        <v>2339</v>
      </c>
      <c r="F479" s="304" t="s">
        <v>2339</v>
      </c>
    </row>
    <row r="480" spans="2:6" x14ac:dyDescent="0.2">
      <c r="B480" s="305" t="s">
        <v>447</v>
      </c>
      <c r="C480" s="307" t="s">
        <v>748</v>
      </c>
      <c r="D480" s="306" t="s">
        <v>2340</v>
      </c>
      <c r="E480" s="307" t="s">
        <v>2341</v>
      </c>
      <c r="F480" s="308" t="s">
        <v>2341</v>
      </c>
    </row>
    <row r="481" spans="2:6" x14ac:dyDescent="0.2">
      <c r="B481" s="303" t="s">
        <v>447</v>
      </c>
      <c r="C481" s="258" t="s">
        <v>478</v>
      </c>
      <c r="D481" s="259" t="s">
        <v>1149</v>
      </c>
      <c r="E481" s="258" t="s">
        <v>2342</v>
      </c>
      <c r="F481" s="304" t="s">
        <v>2343</v>
      </c>
    </row>
    <row r="482" spans="2:6" x14ac:dyDescent="0.2">
      <c r="B482" s="305" t="s">
        <v>393</v>
      </c>
      <c r="C482" s="307" t="s">
        <v>406</v>
      </c>
      <c r="D482" s="306" t="s">
        <v>2344</v>
      </c>
      <c r="E482" s="307" t="s">
        <v>2345</v>
      </c>
      <c r="F482" s="308" t="s">
        <v>2345</v>
      </c>
    </row>
    <row r="483" spans="2:6" x14ac:dyDescent="0.2">
      <c r="B483" s="303" t="s">
        <v>505</v>
      </c>
      <c r="C483" s="258" t="s">
        <v>511</v>
      </c>
      <c r="D483" s="259" t="s">
        <v>2346</v>
      </c>
      <c r="E483" s="258" t="s">
        <v>2347</v>
      </c>
      <c r="F483" s="304" t="s">
        <v>2347</v>
      </c>
    </row>
    <row r="484" spans="2:6" x14ac:dyDescent="0.2">
      <c r="B484" s="305" t="s">
        <v>537</v>
      </c>
      <c r="C484" s="307" t="s">
        <v>543</v>
      </c>
      <c r="D484" s="306" t="s">
        <v>2348</v>
      </c>
      <c r="E484" s="307" t="s">
        <v>2349</v>
      </c>
      <c r="F484" s="308" t="s">
        <v>2349</v>
      </c>
    </row>
    <row r="485" spans="2:6" x14ac:dyDescent="0.2">
      <c r="B485" s="303" t="s">
        <v>422</v>
      </c>
      <c r="C485" s="258" t="s">
        <v>423</v>
      </c>
      <c r="D485" s="259" t="s">
        <v>2350</v>
      </c>
      <c r="E485" s="258" t="s">
        <v>2351</v>
      </c>
      <c r="F485" s="304" t="s">
        <v>2352</v>
      </c>
    </row>
    <row r="486" spans="2:6" x14ac:dyDescent="0.2">
      <c r="B486" s="305" t="s">
        <v>432</v>
      </c>
      <c r="C486" s="307" t="s">
        <v>437</v>
      </c>
      <c r="D486" s="306" t="s">
        <v>2353</v>
      </c>
      <c r="E486" s="307" t="s">
        <v>2354</v>
      </c>
      <c r="F486" s="308" t="s">
        <v>2354</v>
      </c>
    </row>
    <row r="487" spans="2:6" x14ac:dyDescent="0.2">
      <c r="B487" s="303" t="s">
        <v>432</v>
      </c>
      <c r="C487" s="258" t="s">
        <v>437</v>
      </c>
      <c r="D487" s="259" t="s">
        <v>2355</v>
      </c>
      <c r="E487" s="258" t="s">
        <v>2356</v>
      </c>
      <c r="F487" s="304" t="s">
        <v>2357</v>
      </c>
    </row>
    <row r="488" spans="2:6" x14ac:dyDescent="0.2">
      <c r="B488" s="305" t="s">
        <v>447</v>
      </c>
      <c r="C488" s="307" t="s">
        <v>748</v>
      </c>
      <c r="D488" s="306" t="s">
        <v>1170</v>
      </c>
      <c r="E488" s="307" t="s">
        <v>2358</v>
      </c>
      <c r="F488" s="308" t="s">
        <v>2358</v>
      </c>
    </row>
    <row r="489" spans="2:6" x14ac:dyDescent="0.2">
      <c r="B489" s="303" t="s">
        <v>432</v>
      </c>
      <c r="C489" s="258" t="s">
        <v>433</v>
      </c>
      <c r="D489" s="259" t="s">
        <v>2359</v>
      </c>
      <c r="E489" s="258" t="s">
        <v>2360</v>
      </c>
      <c r="F489" s="304" t="s">
        <v>2360</v>
      </c>
    </row>
    <row r="490" spans="2:6" x14ac:dyDescent="0.2">
      <c r="B490" s="305" t="s">
        <v>447</v>
      </c>
      <c r="C490" s="307" t="s">
        <v>748</v>
      </c>
      <c r="D490" s="306" t="s">
        <v>1172</v>
      </c>
      <c r="E490" s="307" t="s">
        <v>2361</v>
      </c>
      <c r="F490" s="308" t="s">
        <v>2361</v>
      </c>
    </row>
    <row r="491" spans="2:6" x14ac:dyDescent="0.2">
      <c r="B491" s="303" t="s">
        <v>447</v>
      </c>
      <c r="C491" s="258" t="s">
        <v>465</v>
      </c>
      <c r="D491" s="259" t="s">
        <v>2362</v>
      </c>
      <c r="E491" s="258" t="s">
        <v>2363</v>
      </c>
      <c r="F491" s="304" t="s">
        <v>2363</v>
      </c>
    </row>
    <row r="492" spans="2:6" x14ac:dyDescent="0.2">
      <c r="B492" s="305" t="s">
        <v>447</v>
      </c>
      <c r="C492" s="307" t="s">
        <v>451</v>
      </c>
      <c r="D492" s="306" t="s">
        <v>2364</v>
      </c>
      <c r="E492" s="307" t="s">
        <v>2365</v>
      </c>
      <c r="F492" s="308" t="s">
        <v>2365</v>
      </c>
    </row>
    <row r="493" spans="2:6" x14ac:dyDescent="0.2">
      <c r="B493" s="303" t="s">
        <v>393</v>
      </c>
      <c r="C493" s="258" t="s">
        <v>406</v>
      </c>
      <c r="D493" s="259" t="s">
        <v>2366</v>
      </c>
      <c r="E493" s="258" t="s">
        <v>2367</v>
      </c>
      <c r="F493" s="304" t="s">
        <v>2367</v>
      </c>
    </row>
    <row r="494" spans="2:6" x14ac:dyDescent="0.2">
      <c r="B494" s="305" t="s">
        <v>447</v>
      </c>
      <c r="C494" s="307" t="s">
        <v>748</v>
      </c>
      <c r="D494" s="306" t="s">
        <v>2368</v>
      </c>
      <c r="E494" s="307" t="s">
        <v>2369</v>
      </c>
      <c r="F494" s="308" t="s">
        <v>2369</v>
      </c>
    </row>
    <row r="495" spans="2:6" x14ac:dyDescent="0.2">
      <c r="B495" s="303" t="s">
        <v>393</v>
      </c>
      <c r="C495" s="258" t="s">
        <v>394</v>
      </c>
      <c r="D495" s="259" t="s">
        <v>2370</v>
      </c>
      <c r="E495" s="258" t="s">
        <v>2371</v>
      </c>
      <c r="F495" s="304" t="s">
        <v>2371</v>
      </c>
    </row>
    <row r="496" spans="2:6" x14ac:dyDescent="0.2">
      <c r="B496" s="305" t="s">
        <v>432</v>
      </c>
      <c r="C496" s="307" t="s">
        <v>437</v>
      </c>
      <c r="D496" s="306" t="s">
        <v>2372</v>
      </c>
      <c r="E496" s="307" t="s">
        <v>2373</v>
      </c>
      <c r="F496" s="308" t="s">
        <v>2373</v>
      </c>
    </row>
    <row r="497" spans="2:6" x14ac:dyDescent="0.2">
      <c r="B497" s="303" t="s">
        <v>505</v>
      </c>
      <c r="C497" s="258" t="s">
        <v>511</v>
      </c>
      <c r="D497" s="259" t="s">
        <v>2374</v>
      </c>
      <c r="E497" s="258" t="s">
        <v>2375</v>
      </c>
      <c r="F497" s="304" t="s">
        <v>2375</v>
      </c>
    </row>
    <row r="498" spans="2:6" x14ac:dyDescent="0.2">
      <c r="B498" s="305" t="s">
        <v>447</v>
      </c>
      <c r="C498" s="307" t="s">
        <v>1556</v>
      </c>
      <c r="D498" s="306" t="s">
        <v>2376</v>
      </c>
      <c r="E498" s="307" t="s">
        <v>2377</v>
      </c>
      <c r="F498" s="308" t="s">
        <v>2377</v>
      </c>
    </row>
    <row r="499" spans="2:6" x14ac:dyDescent="0.2">
      <c r="B499" s="303" t="s">
        <v>447</v>
      </c>
      <c r="C499" s="258" t="s">
        <v>1556</v>
      </c>
      <c r="D499" s="259" t="s">
        <v>2378</v>
      </c>
      <c r="E499" s="258" t="s">
        <v>2379</v>
      </c>
      <c r="F499" s="304" t="s">
        <v>2379</v>
      </c>
    </row>
    <row r="500" spans="2:6" x14ac:dyDescent="0.2">
      <c r="B500" s="305" t="s">
        <v>447</v>
      </c>
      <c r="C500" s="307" t="s">
        <v>462</v>
      </c>
      <c r="D500" s="306" t="s">
        <v>2380</v>
      </c>
      <c r="E500" s="307" t="s">
        <v>2381</v>
      </c>
      <c r="F500" s="308" t="s">
        <v>2381</v>
      </c>
    </row>
    <row r="501" spans="2:6" x14ac:dyDescent="0.2">
      <c r="B501" s="303" t="s">
        <v>447</v>
      </c>
      <c r="C501" s="258" t="s">
        <v>478</v>
      </c>
      <c r="D501" s="259" t="s">
        <v>1182</v>
      </c>
      <c r="E501" s="258" t="s">
        <v>2382</v>
      </c>
      <c r="F501" s="304" t="s">
        <v>2383</v>
      </c>
    </row>
    <row r="502" spans="2:6" x14ac:dyDescent="0.2">
      <c r="B502" s="305" t="s">
        <v>447</v>
      </c>
      <c r="C502" s="307" t="s">
        <v>472</v>
      </c>
      <c r="D502" s="306" t="s">
        <v>2384</v>
      </c>
      <c r="E502" s="307" t="s">
        <v>2385</v>
      </c>
      <c r="F502" s="308" t="s">
        <v>2385</v>
      </c>
    </row>
    <row r="503" spans="2:6" x14ac:dyDescent="0.2">
      <c r="B503" s="303" t="s">
        <v>393</v>
      </c>
      <c r="C503" s="258" t="s">
        <v>394</v>
      </c>
      <c r="D503" s="259" t="s">
        <v>2386</v>
      </c>
      <c r="E503" s="258" t="s">
        <v>2387</v>
      </c>
      <c r="F503" s="304" t="s">
        <v>2387</v>
      </c>
    </row>
    <row r="504" spans="2:6" x14ac:dyDescent="0.2">
      <c r="B504" s="305" t="s">
        <v>606</v>
      </c>
      <c r="C504" s="307" t="s">
        <v>607</v>
      </c>
      <c r="D504" s="306" t="s">
        <v>2388</v>
      </c>
      <c r="E504" s="307" t="s">
        <v>2389</v>
      </c>
      <c r="F504" s="308" t="s">
        <v>2389</v>
      </c>
    </row>
    <row r="505" spans="2:6" x14ac:dyDescent="0.2">
      <c r="B505" s="303" t="s">
        <v>447</v>
      </c>
      <c r="C505" s="258" t="s">
        <v>748</v>
      </c>
      <c r="D505" s="259" t="s">
        <v>2390</v>
      </c>
      <c r="E505" s="258" t="s">
        <v>2391</v>
      </c>
      <c r="F505" s="304" t="s">
        <v>2391</v>
      </c>
    </row>
    <row r="506" spans="2:6" x14ac:dyDescent="0.2">
      <c r="B506" s="305" t="s">
        <v>447</v>
      </c>
      <c r="C506" s="307" t="s">
        <v>1526</v>
      </c>
      <c r="D506" s="306" t="s">
        <v>2392</v>
      </c>
      <c r="E506" s="307" t="s">
        <v>2393</v>
      </c>
      <c r="F506" s="308" t="s">
        <v>2393</v>
      </c>
    </row>
    <row r="507" spans="2:6" x14ac:dyDescent="0.2">
      <c r="B507" s="303" t="s">
        <v>537</v>
      </c>
      <c r="C507" s="258" t="s">
        <v>543</v>
      </c>
      <c r="D507" s="259" t="s">
        <v>2394</v>
      </c>
      <c r="E507" s="258" t="s">
        <v>2395</v>
      </c>
      <c r="F507" s="304" t="s">
        <v>2395</v>
      </c>
    </row>
    <row r="508" spans="2:6" x14ac:dyDescent="0.2">
      <c r="B508" s="305" t="s">
        <v>432</v>
      </c>
      <c r="C508" s="307" t="s">
        <v>437</v>
      </c>
      <c r="D508" s="306" t="s">
        <v>2396</v>
      </c>
      <c r="E508" s="307" t="s">
        <v>2397</v>
      </c>
      <c r="F508" s="308" t="s">
        <v>2397</v>
      </c>
    </row>
    <row r="509" spans="2:6" x14ac:dyDescent="0.2">
      <c r="B509" s="303" t="s">
        <v>447</v>
      </c>
      <c r="C509" s="258" t="s">
        <v>454</v>
      </c>
      <c r="D509" s="259" t="s">
        <v>2398</v>
      </c>
      <c r="E509" s="258" t="s">
        <v>2399</v>
      </c>
      <c r="F509" s="304" t="s">
        <v>2399</v>
      </c>
    </row>
    <row r="510" spans="2:6" x14ac:dyDescent="0.2">
      <c r="B510" s="305" t="s">
        <v>432</v>
      </c>
      <c r="C510" s="307" t="s">
        <v>437</v>
      </c>
      <c r="D510" s="306" t="s">
        <v>2400</v>
      </c>
      <c r="E510" s="307" t="s">
        <v>2401</v>
      </c>
      <c r="F510" s="308" t="s">
        <v>2402</v>
      </c>
    </row>
    <row r="511" spans="2:6" x14ac:dyDescent="0.2">
      <c r="B511" s="303" t="s">
        <v>505</v>
      </c>
      <c r="C511" s="258" t="s">
        <v>511</v>
      </c>
      <c r="D511" s="259" t="s">
        <v>2403</v>
      </c>
      <c r="E511" s="258" t="s">
        <v>2404</v>
      </c>
      <c r="F511" s="304" t="s">
        <v>2404</v>
      </c>
    </row>
    <row r="512" spans="2:6" x14ac:dyDescent="0.2">
      <c r="B512" s="305" t="s">
        <v>447</v>
      </c>
      <c r="C512" s="307" t="s">
        <v>487</v>
      </c>
      <c r="D512" s="306" t="s">
        <v>2405</v>
      </c>
      <c r="E512" s="307" t="s">
        <v>2406</v>
      </c>
      <c r="F512" s="308" t="s">
        <v>2406</v>
      </c>
    </row>
    <row r="513" spans="2:6" x14ac:dyDescent="0.2">
      <c r="B513" s="303" t="s">
        <v>537</v>
      </c>
      <c r="C513" s="258" t="s">
        <v>543</v>
      </c>
      <c r="D513" s="259" t="s">
        <v>2407</v>
      </c>
      <c r="E513" s="258" t="s">
        <v>2408</v>
      </c>
      <c r="F513" s="304" t="s">
        <v>2408</v>
      </c>
    </row>
    <row r="514" spans="2:6" x14ac:dyDescent="0.2">
      <c r="B514" s="305" t="s">
        <v>447</v>
      </c>
      <c r="C514" s="307" t="s">
        <v>465</v>
      </c>
      <c r="D514" s="306" t="s">
        <v>2409</v>
      </c>
      <c r="E514" s="307" t="s">
        <v>2410</v>
      </c>
      <c r="F514" s="308" t="s">
        <v>2410</v>
      </c>
    </row>
    <row r="515" spans="2:6" x14ac:dyDescent="0.2">
      <c r="B515" s="303" t="s">
        <v>393</v>
      </c>
      <c r="C515" s="258" t="s">
        <v>394</v>
      </c>
      <c r="D515" s="259" t="s">
        <v>1106</v>
      </c>
      <c r="E515" s="258" t="s">
        <v>2411</v>
      </c>
      <c r="F515" s="304" t="s">
        <v>2412</v>
      </c>
    </row>
    <row r="516" spans="2:6" x14ac:dyDescent="0.2">
      <c r="B516" s="305" t="s">
        <v>447</v>
      </c>
      <c r="C516" s="307" t="s">
        <v>478</v>
      </c>
      <c r="D516" s="306" t="s">
        <v>2413</v>
      </c>
      <c r="E516" s="307" t="s">
        <v>2414</v>
      </c>
      <c r="F516" s="308" t="s">
        <v>2414</v>
      </c>
    </row>
    <row r="517" spans="2:6" x14ac:dyDescent="0.2">
      <c r="B517" s="303" t="s">
        <v>537</v>
      </c>
      <c r="C517" s="258" t="s">
        <v>543</v>
      </c>
      <c r="D517" s="259" t="s">
        <v>2415</v>
      </c>
      <c r="E517" s="258" t="s">
        <v>2416</v>
      </c>
      <c r="F517" s="304" t="s">
        <v>2416</v>
      </c>
    </row>
    <row r="518" spans="2:6" x14ac:dyDescent="0.2">
      <c r="B518" s="305" t="s">
        <v>432</v>
      </c>
      <c r="C518" s="307" t="s">
        <v>433</v>
      </c>
      <c r="D518" s="306" t="s">
        <v>2417</v>
      </c>
      <c r="E518" s="307" t="s">
        <v>2418</v>
      </c>
      <c r="F518" s="308" t="s">
        <v>2418</v>
      </c>
    </row>
    <row r="519" spans="2:6" x14ac:dyDescent="0.2">
      <c r="B519" s="303" t="s">
        <v>505</v>
      </c>
      <c r="C519" s="258" t="s">
        <v>511</v>
      </c>
      <c r="D519" s="259" t="s">
        <v>2419</v>
      </c>
      <c r="E519" s="258" t="s">
        <v>2420</v>
      </c>
      <c r="F519" s="304" t="s">
        <v>2420</v>
      </c>
    </row>
    <row r="520" spans="2:6" x14ac:dyDescent="0.2">
      <c r="B520" s="305" t="s">
        <v>447</v>
      </c>
      <c r="C520" s="307" t="s">
        <v>465</v>
      </c>
      <c r="D520" s="306" t="s">
        <v>2421</v>
      </c>
      <c r="E520" s="307" t="s">
        <v>2422</v>
      </c>
      <c r="F520" s="308" t="s">
        <v>2422</v>
      </c>
    </row>
    <row r="521" spans="2:6" x14ac:dyDescent="0.2">
      <c r="B521" s="303" t="s">
        <v>447</v>
      </c>
      <c r="C521" s="258" t="s">
        <v>748</v>
      </c>
      <c r="D521" s="259" t="s">
        <v>2423</v>
      </c>
      <c r="E521" s="258" t="s">
        <v>2424</v>
      </c>
      <c r="F521" s="304" t="s">
        <v>2424</v>
      </c>
    </row>
    <row r="522" spans="2:6" x14ac:dyDescent="0.2">
      <c r="B522" s="305" t="s">
        <v>447</v>
      </c>
      <c r="C522" s="307" t="s">
        <v>478</v>
      </c>
      <c r="D522" s="306" t="s">
        <v>2425</v>
      </c>
      <c r="E522" s="307" t="s">
        <v>2426</v>
      </c>
      <c r="F522" s="308" t="s">
        <v>2426</v>
      </c>
    </row>
    <row r="523" spans="2:6" x14ac:dyDescent="0.2">
      <c r="B523" s="303" t="s">
        <v>447</v>
      </c>
      <c r="C523" s="258" t="s">
        <v>1526</v>
      </c>
      <c r="D523" s="259" t="s">
        <v>2427</v>
      </c>
      <c r="E523" s="258" t="s">
        <v>2428</v>
      </c>
      <c r="F523" s="304" t="s">
        <v>2428</v>
      </c>
    </row>
    <row r="524" spans="2:6" x14ac:dyDescent="0.2">
      <c r="B524" s="305" t="s">
        <v>447</v>
      </c>
      <c r="C524" s="307" t="s">
        <v>487</v>
      </c>
      <c r="D524" s="306" t="s">
        <v>2429</v>
      </c>
      <c r="E524" s="307" t="s">
        <v>2430</v>
      </c>
      <c r="F524" s="308" t="s">
        <v>2430</v>
      </c>
    </row>
    <row r="525" spans="2:6" x14ac:dyDescent="0.2">
      <c r="B525" s="303" t="s">
        <v>447</v>
      </c>
      <c r="C525" s="258" t="s">
        <v>500</v>
      </c>
      <c r="D525" s="259" t="s">
        <v>2431</v>
      </c>
      <c r="E525" s="258" t="s">
        <v>2432</v>
      </c>
      <c r="F525" s="304" t="s">
        <v>2432</v>
      </c>
    </row>
    <row r="526" spans="2:6" x14ac:dyDescent="0.2">
      <c r="B526" s="305" t="s">
        <v>537</v>
      </c>
      <c r="C526" s="307" t="s">
        <v>543</v>
      </c>
      <c r="D526" s="306" t="s">
        <v>2433</v>
      </c>
      <c r="E526" s="307" t="s">
        <v>2434</v>
      </c>
      <c r="F526" s="308" t="s">
        <v>2434</v>
      </c>
    </row>
    <row r="527" spans="2:6" x14ac:dyDescent="0.2">
      <c r="B527" s="303" t="s">
        <v>537</v>
      </c>
      <c r="C527" s="258" t="s">
        <v>543</v>
      </c>
      <c r="D527" s="259" t="s">
        <v>2435</v>
      </c>
      <c r="E527" s="258" t="s">
        <v>2436</v>
      </c>
      <c r="F527" s="304" t="s">
        <v>2436</v>
      </c>
    </row>
    <row r="528" spans="2:6" x14ac:dyDescent="0.2">
      <c r="B528" s="305" t="s">
        <v>447</v>
      </c>
      <c r="C528" s="307" t="s">
        <v>475</v>
      </c>
      <c r="D528" s="306" t="s">
        <v>2437</v>
      </c>
      <c r="E528" s="307" t="s">
        <v>2438</v>
      </c>
      <c r="F528" s="308" t="s">
        <v>2439</v>
      </c>
    </row>
    <row r="529" spans="2:6" x14ac:dyDescent="0.2">
      <c r="B529" s="303" t="s">
        <v>447</v>
      </c>
      <c r="C529" s="258" t="s">
        <v>500</v>
      </c>
      <c r="D529" s="259" t="s">
        <v>2440</v>
      </c>
      <c r="E529" s="258" t="s">
        <v>2441</v>
      </c>
      <c r="F529" s="304" t="s">
        <v>2441</v>
      </c>
    </row>
    <row r="530" spans="2:6" x14ac:dyDescent="0.2">
      <c r="B530" s="305" t="s">
        <v>447</v>
      </c>
      <c r="C530" s="307" t="s">
        <v>748</v>
      </c>
      <c r="D530" s="306" t="s">
        <v>2442</v>
      </c>
      <c r="E530" s="307" t="s">
        <v>2443</v>
      </c>
      <c r="F530" s="308" t="s">
        <v>2443</v>
      </c>
    </row>
    <row r="531" spans="2:6" x14ac:dyDescent="0.2">
      <c r="B531" s="303" t="s">
        <v>447</v>
      </c>
      <c r="C531" s="258" t="s">
        <v>1610</v>
      </c>
      <c r="D531" s="259" t="s">
        <v>2444</v>
      </c>
      <c r="E531" s="258" t="s">
        <v>2445</v>
      </c>
      <c r="F531" s="304" t="s">
        <v>2445</v>
      </c>
    </row>
    <row r="532" spans="2:6" x14ac:dyDescent="0.2">
      <c r="B532" s="305" t="s">
        <v>447</v>
      </c>
      <c r="C532" s="307" t="s">
        <v>1526</v>
      </c>
      <c r="D532" s="306" t="s">
        <v>2446</v>
      </c>
      <c r="E532" s="307" t="s">
        <v>2447</v>
      </c>
      <c r="F532" s="308" t="s">
        <v>2447</v>
      </c>
    </row>
    <row r="533" spans="2:6" x14ac:dyDescent="0.2">
      <c r="B533" s="303" t="s">
        <v>537</v>
      </c>
      <c r="C533" s="258" t="s">
        <v>543</v>
      </c>
      <c r="D533" s="259" t="s">
        <v>2448</v>
      </c>
      <c r="E533" s="258" t="s">
        <v>2449</v>
      </c>
      <c r="F533" s="304" t="s">
        <v>2449</v>
      </c>
    </row>
    <row r="534" spans="2:6" x14ac:dyDescent="0.2">
      <c r="B534" s="305" t="s">
        <v>447</v>
      </c>
      <c r="C534" s="307" t="s">
        <v>478</v>
      </c>
      <c r="D534" s="306" t="s">
        <v>1208</v>
      </c>
      <c r="E534" s="307" t="s">
        <v>2450</v>
      </c>
      <c r="F534" s="308" t="s">
        <v>2451</v>
      </c>
    </row>
    <row r="535" spans="2:6" x14ac:dyDescent="0.2">
      <c r="B535" s="303" t="s">
        <v>505</v>
      </c>
      <c r="C535" s="258" t="s">
        <v>511</v>
      </c>
      <c r="D535" s="259" t="s">
        <v>2452</v>
      </c>
      <c r="E535" s="258" t="s">
        <v>2453</v>
      </c>
      <c r="F535" s="304" t="s">
        <v>2453</v>
      </c>
    </row>
    <row r="536" spans="2:6" x14ac:dyDescent="0.2">
      <c r="B536" s="305" t="s">
        <v>393</v>
      </c>
      <c r="C536" s="307" t="s">
        <v>394</v>
      </c>
      <c r="D536" s="306" t="s">
        <v>1117</v>
      </c>
      <c r="E536" s="307" t="s">
        <v>2454</v>
      </c>
      <c r="F536" s="308" t="s">
        <v>2454</v>
      </c>
    </row>
    <row r="537" spans="2:6" x14ac:dyDescent="0.2">
      <c r="B537" s="303" t="s">
        <v>447</v>
      </c>
      <c r="C537" s="258" t="s">
        <v>475</v>
      </c>
      <c r="D537" s="259" t="s">
        <v>2455</v>
      </c>
      <c r="E537" s="258" t="s">
        <v>2456</v>
      </c>
      <c r="F537" s="304" t="s">
        <v>2456</v>
      </c>
    </row>
    <row r="538" spans="2:6" x14ac:dyDescent="0.2">
      <c r="B538" s="305" t="s">
        <v>447</v>
      </c>
      <c r="C538" s="307" t="s">
        <v>475</v>
      </c>
      <c r="D538" s="306" t="s">
        <v>2457</v>
      </c>
      <c r="E538" s="307" t="s">
        <v>2458</v>
      </c>
      <c r="F538" s="308" t="s">
        <v>2459</v>
      </c>
    </row>
    <row r="539" spans="2:6" x14ac:dyDescent="0.2">
      <c r="B539" s="303" t="s">
        <v>393</v>
      </c>
      <c r="C539" s="258" t="s">
        <v>416</v>
      </c>
      <c r="D539" s="259" t="s">
        <v>2460</v>
      </c>
      <c r="E539" s="258" t="s">
        <v>2461</v>
      </c>
      <c r="F539" s="304" t="s">
        <v>2461</v>
      </c>
    </row>
    <row r="540" spans="2:6" x14ac:dyDescent="0.2">
      <c r="B540" s="305" t="s">
        <v>447</v>
      </c>
      <c r="C540" s="307" t="s">
        <v>748</v>
      </c>
      <c r="D540" s="306" t="s">
        <v>2462</v>
      </c>
      <c r="E540" s="307" t="s">
        <v>2463</v>
      </c>
      <c r="F540" s="308" t="s">
        <v>2463</v>
      </c>
    </row>
    <row r="541" spans="2:6" x14ac:dyDescent="0.2">
      <c r="B541" s="303" t="s">
        <v>393</v>
      </c>
      <c r="C541" s="258" t="s">
        <v>406</v>
      </c>
      <c r="D541" s="259" t="s">
        <v>2464</v>
      </c>
      <c r="E541" s="258" t="s">
        <v>2465</v>
      </c>
      <c r="F541" s="304" t="s">
        <v>2465</v>
      </c>
    </row>
    <row r="542" spans="2:6" x14ac:dyDescent="0.2">
      <c r="B542" s="305" t="s">
        <v>537</v>
      </c>
      <c r="C542" s="307" t="s">
        <v>543</v>
      </c>
      <c r="D542" s="306" t="s">
        <v>2466</v>
      </c>
      <c r="E542" s="307" t="s">
        <v>2467</v>
      </c>
      <c r="F542" s="308" t="s">
        <v>2467</v>
      </c>
    </row>
    <row r="543" spans="2:6" x14ac:dyDescent="0.2">
      <c r="B543" s="303" t="s">
        <v>537</v>
      </c>
      <c r="C543" s="258" t="s">
        <v>543</v>
      </c>
      <c r="D543" s="259" t="s">
        <v>2468</v>
      </c>
      <c r="E543" s="258" t="s">
        <v>2469</v>
      </c>
      <c r="F543" s="304" t="s">
        <v>2469</v>
      </c>
    </row>
    <row r="544" spans="2:6" x14ac:dyDescent="0.2">
      <c r="B544" s="305" t="s">
        <v>537</v>
      </c>
      <c r="C544" s="307" t="s">
        <v>543</v>
      </c>
      <c r="D544" s="306" t="s">
        <v>2470</v>
      </c>
      <c r="E544" s="307" t="s">
        <v>2471</v>
      </c>
      <c r="F544" s="308" t="s">
        <v>2471</v>
      </c>
    </row>
    <row r="545" spans="2:6" x14ac:dyDescent="0.2">
      <c r="B545" s="303" t="s">
        <v>505</v>
      </c>
      <c r="C545" s="258" t="s">
        <v>511</v>
      </c>
      <c r="D545" s="259" t="s">
        <v>2472</v>
      </c>
      <c r="E545" s="258" t="s">
        <v>2473</v>
      </c>
      <c r="F545" s="304" t="s">
        <v>2473</v>
      </c>
    </row>
    <row r="546" spans="2:6" x14ac:dyDescent="0.2">
      <c r="B546" s="305" t="s">
        <v>447</v>
      </c>
      <c r="C546" s="307" t="s">
        <v>459</v>
      </c>
      <c r="D546" s="306" t="s">
        <v>2474</v>
      </c>
      <c r="E546" s="307" t="s">
        <v>2475</v>
      </c>
      <c r="F546" s="308" t="s">
        <v>2475</v>
      </c>
    </row>
    <row r="547" spans="2:6" x14ac:dyDescent="0.2">
      <c r="B547" s="303" t="s">
        <v>447</v>
      </c>
      <c r="C547" s="258" t="s">
        <v>748</v>
      </c>
      <c r="D547" s="259" t="s">
        <v>1212</v>
      </c>
      <c r="E547" s="258" t="s">
        <v>2476</v>
      </c>
      <c r="F547" s="304" t="s">
        <v>2477</v>
      </c>
    </row>
    <row r="548" spans="2:6" x14ac:dyDescent="0.2">
      <c r="B548" s="305" t="s">
        <v>447</v>
      </c>
      <c r="C548" s="307" t="s">
        <v>478</v>
      </c>
      <c r="D548" s="306" t="s">
        <v>1214</v>
      </c>
      <c r="E548" s="307" t="s">
        <v>2478</v>
      </c>
      <c r="F548" s="308" t="s">
        <v>2478</v>
      </c>
    </row>
    <row r="549" spans="2:6" x14ac:dyDescent="0.2">
      <c r="B549" s="303" t="s">
        <v>537</v>
      </c>
      <c r="C549" s="258" t="s">
        <v>543</v>
      </c>
      <c r="D549" s="259" t="s">
        <v>2479</v>
      </c>
      <c r="E549" s="258" t="s">
        <v>2480</v>
      </c>
      <c r="F549" s="304" t="s">
        <v>2480</v>
      </c>
    </row>
    <row r="550" spans="2:6" x14ac:dyDescent="0.2">
      <c r="B550" s="305" t="s">
        <v>505</v>
      </c>
      <c r="C550" s="307" t="s">
        <v>511</v>
      </c>
      <c r="D550" s="306" t="s">
        <v>2481</v>
      </c>
      <c r="E550" s="307" t="s">
        <v>2482</v>
      </c>
      <c r="F550" s="308" t="s">
        <v>2482</v>
      </c>
    </row>
    <row r="551" spans="2:6" x14ac:dyDescent="0.2">
      <c r="B551" s="303" t="s">
        <v>537</v>
      </c>
      <c r="C551" s="258" t="s">
        <v>543</v>
      </c>
      <c r="D551" s="259" t="s">
        <v>2483</v>
      </c>
      <c r="E551" s="258" t="s">
        <v>2484</v>
      </c>
      <c r="F551" s="304" t="s">
        <v>2484</v>
      </c>
    </row>
    <row r="552" spans="2:6" x14ac:dyDescent="0.2">
      <c r="B552" s="305" t="s">
        <v>447</v>
      </c>
      <c r="C552" s="307" t="s">
        <v>454</v>
      </c>
      <c r="D552" s="306" t="s">
        <v>2485</v>
      </c>
      <c r="E552" s="307" t="s">
        <v>2486</v>
      </c>
      <c r="F552" s="308" t="s">
        <v>2486</v>
      </c>
    </row>
    <row r="553" spans="2:6" x14ac:dyDescent="0.2">
      <c r="B553" s="303" t="s">
        <v>447</v>
      </c>
      <c r="C553" s="258" t="s">
        <v>472</v>
      </c>
      <c r="D553" s="259" t="s">
        <v>2487</v>
      </c>
      <c r="E553" s="258" t="s">
        <v>2488</v>
      </c>
      <c r="F553" s="304" t="s">
        <v>2488</v>
      </c>
    </row>
    <row r="554" spans="2:6" x14ac:dyDescent="0.2">
      <c r="B554" s="305" t="s">
        <v>447</v>
      </c>
      <c r="C554" s="307" t="s">
        <v>748</v>
      </c>
      <c r="D554" s="306" t="s">
        <v>2489</v>
      </c>
      <c r="E554" s="307" t="s">
        <v>2490</v>
      </c>
      <c r="F554" s="308" t="s">
        <v>2490</v>
      </c>
    </row>
    <row r="555" spans="2:6" x14ac:dyDescent="0.2">
      <c r="B555" s="303" t="s">
        <v>432</v>
      </c>
      <c r="C555" s="258" t="s">
        <v>433</v>
      </c>
      <c r="D555" s="259" t="s">
        <v>2491</v>
      </c>
      <c r="E555" s="258" t="s">
        <v>2492</v>
      </c>
      <c r="F555" s="304" t="s">
        <v>2492</v>
      </c>
    </row>
    <row r="556" spans="2:6" x14ac:dyDescent="0.2">
      <c r="B556" s="305" t="s">
        <v>447</v>
      </c>
      <c r="C556" s="307" t="s">
        <v>459</v>
      </c>
      <c r="D556" s="306" t="s">
        <v>2493</v>
      </c>
      <c r="E556" s="307" t="s">
        <v>2494</v>
      </c>
      <c r="F556" s="308" t="s">
        <v>2494</v>
      </c>
    </row>
    <row r="557" spans="2:6" x14ac:dyDescent="0.2">
      <c r="B557" s="303" t="s">
        <v>447</v>
      </c>
      <c r="C557" s="258" t="s">
        <v>470</v>
      </c>
      <c r="D557" s="259" t="s">
        <v>421</v>
      </c>
      <c r="E557" s="258" t="s">
        <v>2495</v>
      </c>
      <c r="F557" s="304" t="s">
        <v>2496</v>
      </c>
    </row>
    <row r="558" spans="2:6" x14ac:dyDescent="0.2">
      <c r="B558" s="305" t="s">
        <v>447</v>
      </c>
      <c r="C558" s="307" t="s">
        <v>454</v>
      </c>
      <c r="D558" s="306" t="s">
        <v>2497</v>
      </c>
      <c r="E558" s="307" t="s">
        <v>2498</v>
      </c>
      <c r="F558" s="308" t="s">
        <v>2498</v>
      </c>
    </row>
    <row r="559" spans="2:6" x14ac:dyDescent="0.2">
      <c r="B559" s="303" t="s">
        <v>447</v>
      </c>
      <c r="C559" s="258" t="s">
        <v>465</v>
      </c>
      <c r="D559" s="259" t="s">
        <v>2499</v>
      </c>
      <c r="E559" s="258" t="s">
        <v>2500</v>
      </c>
      <c r="F559" s="304" t="s">
        <v>2500</v>
      </c>
    </row>
    <row r="560" spans="2:6" x14ac:dyDescent="0.2">
      <c r="B560" s="305" t="s">
        <v>447</v>
      </c>
      <c r="C560" s="307" t="s">
        <v>1556</v>
      </c>
      <c r="D560" s="306" t="s">
        <v>2501</v>
      </c>
      <c r="E560" s="307" t="s">
        <v>2502</v>
      </c>
      <c r="F560" s="308" t="s">
        <v>2502</v>
      </c>
    </row>
    <row r="561" spans="2:6" x14ac:dyDescent="0.2">
      <c r="B561" s="303" t="s">
        <v>447</v>
      </c>
      <c r="C561" s="258" t="s">
        <v>472</v>
      </c>
      <c r="D561" s="259" t="s">
        <v>2503</v>
      </c>
      <c r="E561" s="258" t="s">
        <v>2504</v>
      </c>
      <c r="F561" s="304" t="s">
        <v>2504</v>
      </c>
    </row>
    <row r="562" spans="2:6" x14ac:dyDescent="0.2">
      <c r="B562" s="305" t="s">
        <v>505</v>
      </c>
      <c r="C562" s="307" t="s">
        <v>511</v>
      </c>
      <c r="D562" s="306" t="s">
        <v>2505</v>
      </c>
      <c r="E562" s="307" t="s">
        <v>2506</v>
      </c>
      <c r="F562" s="308" t="s">
        <v>2506</v>
      </c>
    </row>
    <row r="563" spans="2:6" x14ac:dyDescent="0.2">
      <c r="B563" s="303" t="s">
        <v>447</v>
      </c>
      <c r="C563" s="258" t="s">
        <v>475</v>
      </c>
      <c r="D563" s="259" t="s">
        <v>2507</v>
      </c>
      <c r="E563" s="258" t="s">
        <v>2508</v>
      </c>
      <c r="F563" s="304" t="s">
        <v>2509</v>
      </c>
    </row>
    <row r="564" spans="2:6" x14ac:dyDescent="0.2">
      <c r="B564" s="305" t="s">
        <v>447</v>
      </c>
      <c r="C564" s="307" t="s">
        <v>478</v>
      </c>
      <c r="D564" s="306" t="s">
        <v>2510</v>
      </c>
      <c r="E564" s="307" t="s">
        <v>2511</v>
      </c>
      <c r="F564" s="308" t="s">
        <v>2511</v>
      </c>
    </row>
    <row r="565" spans="2:6" x14ac:dyDescent="0.2">
      <c r="B565" s="303" t="s">
        <v>447</v>
      </c>
      <c r="C565" s="258" t="s">
        <v>475</v>
      </c>
      <c r="D565" s="259" t="s">
        <v>2512</v>
      </c>
      <c r="E565" s="258" t="s">
        <v>2513</v>
      </c>
      <c r="F565" s="304" t="s">
        <v>2513</v>
      </c>
    </row>
    <row r="566" spans="2:6" x14ac:dyDescent="0.2">
      <c r="B566" s="305" t="s">
        <v>447</v>
      </c>
      <c r="C566" s="307" t="s">
        <v>478</v>
      </c>
      <c r="D566" s="306" t="s">
        <v>1228</v>
      </c>
      <c r="E566" s="307" t="s">
        <v>2514</v>
      </c>
      <c r="F566" s="308" t="s">
        <v>2515</v>
      </c>
    </row>
    <row r="567" spans="2:6" x14ac:dyDescent="0.2">
      <c r="B567" s="303" t="s">
        <v>447</v>
      </c>
      <c r="C567" s="258" t="s">
        <v>465</v>
      </c>
      <c r="D567" s="259" t="s">
        <v>2516</v>
      </c>
      <c r="E567" s="258" t="s">
        <v>2517</v>
      </c>
      <c r="F567" s="304" t="s">
        <v>2517</v>
      </c>
    </row>
    <row r="568" spans="2:6" x14ac:dyDescent="0.2">
      <c r="B568" s="305" t="s">
        <v>447</v>
      </c>
      <c r="C568" s="307" t="s">
        <v>472</v>
      </c>
      <c r="D568" s="306" t="s">
        <v>2518</v>
      </c>
      <c r="E568" s="307" t="s">
        <v>2519</v>
      </c>
      <c r="F568" s="308" t="s">
        <v>2519</v>
      </c>
    </row>
    <row r="569" spans="2:6" x14ac:dyDescent="0.2">
      <c r="B569" s="303" t="s">
        <v>447</v>
      </c>
      <c r="C569" s="258" t="s">
        <v>478</v>
      </c>
      <c r="D569" s="259" t="s">
        <v>2520</v>
      </c>
      <c r="E569" s="258" t="s">
        <v>2521</v>
      </c>
      <c r="F569" s="304" t="s">
        <v>2521</v>
      </c>
    </row>
    <row r="570" spans="2:6" x14ac:dyDescent="0.2">
      <c r="B570" s="305" t="s">
        <v>393</v>
      </c>
      <c r="C570" s="307" t="s">
        <v>394</v>
      </c>
      <c r="D570" s="306" t="s">
        <v>2522</v>
      </c>
      <c r="E570" s="307" t="s">
        <v>2523</v>
      </c>
      <c r="F570" s="308" t="s">
        <v>2523</v>
      </c>
    </row>
    <row r="571" spans="2:6" x14ac:dyDescent="0.2">
      <c r="B571" s="303" t="s">
        <v>447</v>
      </c>
      <c r="C571" s="258" t="s">
        <v>1526</v>
      </c>
      <c r="D571" s="259" t="s">
        <v>2524</v>
      </c>
      <c r="E571" s="258" t="s">
        <v>2525</v>
      </c>
      <c r="F571" s="304" t="s">
        <v>2525</v>
      </c>
    </row>
    <row r="572" spans="2:6" x14ac:dyDescent="0.2">
      <c r="B572" s="305" t="s">
        <v>447</v>
      </c>
      <c r="C572" s="307" t="s">
        <v>465</v>
      </c>
      <c r="D572" s="306" t="s">
        <v>2526</v>
      </c>
      <c r="E572" s="307" t="s">
        <v>2527</v>
      </c>
      <c r="F572" s="308" t="s">
        <v>2527</v>
      </c>
    </row>
    <row r="573" spans="2:6" x14ac:dyDescent="0.2">
      <c r="B573" s="303" t="s">
        <v>447</v>
      </c>
      <c r="C573" s="258" t="s">
        <v>465</v>
      </c>
      <c r="D573" s="259" t="s">
        <v>2528</v>
      </c>
      <c r="E573" s="258" t="s">
        <v>2529</v>
      </c>
      <c r="F573" s="304" t="s">
        <v>2529</v>
      </c>
    </row>
    <row r="574" spans="2:6" x14ac:dyDescent="0.2">
      <c r="B574" s="305" t="s">
        <v>447</v>
      </c>
      <c r="C574" s="307" t="s">
        <v>459</v>
      </c>
      <c r="D574" s="306" t="s">
        <v>2530</v>
      </c>
      <c r="E574" s="307" t="s">
        <v>2531</v>
      </c>
      <c r="F574" s="308" t="s">
        <v>2531</v>
      </c>
    </row>
    <row r="575" spans="2:6" x14ac:dyDescent="0.2">
      <c r="B575" s="303" t="s">
        <v>447</v>
      </c>
      <c r="C575" s="258" t="s">
        <v>478</v>
      </c>
      <c r="D575" s="259" t="s">
        <v>1232</v>
      </c>
      <c r="E575" s="258" t="s">
        <v>2532</v>
      </c>
      <c r="F575" s="304" t="s">
        <v>2533</v>
      </c>
    </row>
    <row r="576" spans="2:6" x14ac:dyDescent="0.2">
      <c r="B576" s="305" t="s">
        <v>537</v>
      </c>
      <c r="C576" s="307" t="s">
        <v>540</v>
      </c>
      <c r="D576" s="306" t="s">
        <v>2534</v>
      </c>
      <c r="E576" s="307" t="s">
        <v>2535</v>
      </c>
      <c r="F576" s="308" t="s">
        <v>2535</v>
      </c>
    </row>
    <row r="577" spans="2:6" x14ac:dyDescent="0.2">
      <c r="B577" s="303" t="s">
        <v>537</v>
      </c>
      <c r="C577" s="258" t="s">
        <v>540</v>
      </c>
      <c r="D577" s="259" t="s">
        <v>2536</v>
      </c>
      <c r="E577" s="258" t="s">
        <v>2537</v>
      </c>
      <c r="F577" s="304" t="s">
        <v>2537</v>
      </c>
    </row>
    <row r="578" spans="2:6" x14ac:dyDescent="0.2">
      <c r="B578" s="305" t="s">
        <v>432</v>
      </c>
      <c r="C578" s="307" t="s">
        <v>437</v>
      </c>
      <c r="D578" s="306" t="s">
        <v>2538</v>
      </c>
      <c r="E578" s="307" t="s">
        <v>2539</v>
      </c>
      <c r="F578" s="308" t="s">
        <v>2540</v>
      </c>
    </row>
    <row r="579" spans="2:6" x14ac:dyDescent="0.2">
      <c r="B579" s="303" t="s">
        <v>447</v>
      </c>
      <c r="C579" s="258" t="s">
        <v>475</v>
      </c>
      <c r="D579" s="259" t="s">
        <v>2541</v>
      </c>
      <c r="E579" s="258" t="s">
        <v>2542</v>
      </c>
      <c r="F579" s="304" t="s">
        <v>2542</v>
      </c>
    </row>
    <row r="580" spans="2:6" x14ac:dyDescent="0.2">
      <c r="B580" s="305" t="s">
        <v>393</v>
      </c>
      <c r="C580" s="307" t="s">
        <v>416</v>
      </c>
      <c r="D580" s="306" t="s">
        <v>2543</v>
      </c>
      <c r="E580" s="307" t="s">
        <v>2544</v>
      </c>
      <c r="F580" s="308" t="s">
        <v>2544</v>
      </c>
    </row>
    <row r="581" spans="2:6" x14ac:dyDescent="0.2">
      <c r="B581" s="303" t="s">
        <v>447</v>
      </c>
      <c r="C581" s="258" t="s">
        <v>748</v>
      </c>
      <c r="D581" s="259" t="s">
        <v>1236</v>
      </c>
      <c r="E581" s="258" t="s">
        <v>2545</v>
      </c>
      <c r="F581" s="304" t="s">
        <v>2545</v>
      </c>
    </row>
    <row r="582" spans="2:6" x14ac:dyDescent="0.2">
      <c r="B582" s="305" t="s">
        <v>432</v>
      </c>
      <c r="C582" s="307" t="s">
        <v>433</v>
      </c>
      <c r="D582" s="306" t="s">
        <v>2546</v>
      </c>
      <c r="E582" s="307" t="s">
        <v>2547</v>
      </c>
      <c r="F582" s="308" t="s">
        <v>2547</v>
      </c>
    </row>
    <row r="583" spans="2:6" x14ac:dyDescent="0.2">
      <c r="B583" s="303" t="s">
        <v>447</v>
      </c>
      <c r="C583" s="258" t="s">
        <v>478</v>
      </c>
      <c r="D583" s="259" t="s">
        <v>2548</v>
      </c>
      <c r="E583" s="258" t="s">
        <v>2549</v>
      </c>
      <c r="F583" s="304" t="s">
        <v>2549</v>
      </c>
    </row>
    <row r="584" spans="2:6" x14ac:dyDescent="0.2">
      <c r="B584" s="305" t="s">
        <v>432</v>
      </c>
      <c r="C584" s="307" t="s">
        <v>437</v>
      </c>
      <c r="D584" s="306" t="s">
        <v>2550</v>
      </c>
      <c r="E584" s="307" t="s">
        <v>2551</v>
      </c>
      <c r="F584" s="308" t="s">
        <v>2551</v>
      </c>
    </row>
    <row r="585" spans="2:6" x14ac:dyDescent="0.2">
      <c r="B585" s="303" t="s">
        <v>447</v>
      </c>
      <c r="C585" s="258" t="s">
        <v>487</v>
      </c>
      <c r="D585" s="259" t="s">
        <v>2552</v>
      </c>
      <c r="E585" s="258" t="s">
        <v>2553</v>
      </c>
      <c r="F585" s="304" t="s">
        <v>2553</v>
      </c>
    </row>
    <row r="586" spans="2:6" x14ac:dyDescent="0.2">
      <c r="B586" s="305" t="s">
        <v>447</v>
      </c>
      <c r="C586" s="307" t="s">
        <v>478</v>
      </c>
      <c r="D586" s="306" t="s">
        <v>1241</v>
      </c>
      <c r="E586" s="307" t="s">
        <v>2554</v>
      </c>
      <c r="F586" s="308" t="s">
        <v>2554</v>
      </c>
    </row>
    <row r="587" spans="2:6" x14ac:dyDescent="0.2">
      <c r="B587" s="303" t="s">
        <v>432</v>
      </c>
      <c r="C587" s="258" t="s">
        <v>437</v>
      </c>
      <c r="D587" s="259" t="s">
        <v>2555</v>
      </c>
      <c r="E587" s="258" t="s">
        <v>2556</v>
      </c>
      <c r="F587" s="304" t="s">
        <v>2556</v>
      </c>
    </row>
    <row r="588" spans="2:6" x14ac:dyDescent="0.2">
      <c r="B588" s="305" t="s">
        <v>393</v>
      </c>
      <c r="C588" s="307" t="s">
        <v>394</v>
      </c>
      <c r="D588" s="306" t="s">
        <v>1129</v>
      </c>
      <c r="E588" s="307" t="s">
        <v>2557</v>
      </c>
      <c r="F588" s="308" t="s">
        <v>2557</v>
      </c>
    </row>
    <row r="589" spans="2:6" x14ac:dyDescent="0.2">
      <c r="B589" s="303" t="s">
        <v>447</v>
      </c>
      <c r="C589" s="258" t="s">
        <v>478</v>
      </c>
      <c r="D589" s="259" t="s">
        <v>2558</v>
      </c>
      <c r="E589" s="258" t="s">
        <v>2559</v>
      </c>
      <c r="F589" s="304" t="s">
        <v>2559</v>
      </c>
    </row>
    <row r="590" spans="2:6" x14ac:dyDescent="0.2">
      <c r="B590" s="305" t="s">
        <v>447</v>
      </c>
      <c r="C590" s="307" t="s">
        <v>459</v>
      </c>
      <c r="D590" s="306" t="s">
        <v>2560</v>
      </c>
      <c r="E590" s="307" t="s">
        <v>2561</v>
      </c>
      <c r="F590" s="308" t="s">
        <v>2561</v>
      </c>
    </row>
    <row r="591" spans="2:6" x14ac:dyDescent="0.2">
      <c r="B591" s="303" t="s">
        <v>447</v>
      </c>
      <c r="C591" s="258" t="s">
        <v>748</v>
      </c>
      <c r="D591" s="259" t="s">
        <v>2562</v>
      </c>
      <c r="E591" s="258" t="s">
        <v>2563</v>
      </c>
      <c r="F591" s="304" t="s">
        <v>2563</v>
      </c>
    </row>
    <row r="592" spans="2:6" x14ac:dyDescent="0.2">
      <c r="B592" s="305" t="s">
        <v>537</v>
      </c>
      <c r="C592" s="307" t="s">
        <v>543</v>
      </c>
      <c r="D592" s="306" t="s">
        <v>2564</v>
      </c>
      <c r="E592" s="307" t="s">
        <v>2565</v>
      </c>
      <c r="F592" s="308" t="s">
        <v>2565</v>
      </c>
    </row>
    <row r="593" spans="2:6" x14ac:dyDescent="0.2">
      <c r="B593" s="303" t="s">
        <v>447</v>
      </c>
      <c r="C593" s="258" t="s">
        <v>478</v>
      </c>
      <c r="D593" s="259" t="s">
        <v>2566</v>
      </c>
      <c r="E593" s="258" t="s">
        <v>2567</v>
      </c>
      <c r="F593" s="304" t="s">
        <v>2567</v>
      </c>
    </row>
    <row r="594" spans="2:6" x14ac:dyDescent="0.2">
      <c r="B594" s="305" t="s">
        <v>393</v>
      </c>
      <c r="C594" s="307" t="s">
        <v>394</v>
      </c>
      <c r="D594" s="306" t="s">
        <v>1138</v>
      </c>
      <c r="E594" s="307" t="s">
        <v>2568</v>
      </c>
      <c r="F594" s="308" t="s">
        <v>2569</v>
      </c>
    </row>
    <row r="595" spans="2:6" x14ac:dyDescent="0.2">
      <c r="B595" s="303" t="s">
        <v>447</v>
      </c>
      <c r="C595" s="258" t="s">
        <v>470</v>
      </c>
      <c r="D595" s="259" t="s">
        <v>2570</v>
      </c>
      <c r="E595" s="258" t="s">
        <v>2571</v>
      </c>
      <c r="F595" s="304" t="s">
        <v>2571</v>
      </c>
    </row>
    <row r="596" spans="2:6" x14ac:dyDescent="0.2">
      <c r="B596" s="305" t="s">
        <v>609</v>
      </c>
      <c r="C596" s="307" t="s">
        <v>678</v>
      </c>
      <c r="D596" s="306" t="s">
        <v>994</v>
      </c>
      <c r="E596" s="307" t="s">
        <v>2572</v>
      </c>
      <c r="F596" s="308" t="s">
        <v>2572</v>
      </c>
    </row>
    <row r="597" spans="2:6" x14ac:dyDescent="0.2">
      <c r="B597" s="303" t="s">
        <v>609</v>
      </c>
      <c r="C597" s="258" t="s">
        <v>670</v>
      </c>
      <c r="D597" s="259" t="s">
        <v>2573</v>
      </c>
      <c r="E597" s="258" t="s">
        <v>2574</v>
      </c>
      <c r="F597" s="304" t="s">
        <v>2575</v>
      </c>
    </row>
    <row r="598" spans="2:6" x14ac:dyDescent="0.2">
      <c r="B598" s="305" t="s">
        <v>609</v>
      </c>
      <c r="C598" s="307" t="s">
        <v>670</v>
      </c>
      <c r="D598" s="306" t="s">
        <v>2573</v>
      </c>
      <c r="E598" s="307" t="s">
        <v>2574</v>
      </c>
      <c r="F598" s="308" t="s">
        <v>2574</v>
      </c>
    </row>
    <row r="599" spans="2:6" x14ac:dyDescent="0.2">
      <c r="B599" s="303" t="s">
        <v>447</v>
      </c>
      <c r="C599" s="258" t="s">
        <v>500</v>
      </c>
      <c r="D599" s="259" t="s">
        <v>2576</v>
      </c>
      <c r="E599" s="258" t="s">
        <v>2577</v>
      </c>
      <c r="F599" s="304" t="s">
        <v>2577</v>
      </c>
    </row>
    <row r="600" spans="2:6" x14ac:dyDescent="0.2">
      <c r="B600" s="305" t="s">
        <v>447</v>
      </c>
      <c r="C600" s="307" t="s">
        <v>470</v>
      </c>
      <c r="D600" s="306" t="s">
        <v>2578</v>
      </c>
      <c r="E600" s="307" t="s">
        <v>2579</v>
      </c>
      <c r="F600" s="308" t="s">
        <v>2579</v>
      </c>
    </row>
    <row r="601" spans="2:6" x14ac:dyDescent="0.2">
      <c r="B601" s="303" t="s">
        <v>447</v>
      </c>
      <c r="C601" s="258" t="s">
        <v>459</v>
      </c>
      <c r="D601" s="259" t="s">
        <v>2580</v>
      </c>
      <c r="E601" s="258" t="s">
        <v>2581</v>
      </c>
      <c r="F601" s="304" t="s">
        <v>2581</v>
      </c>
    </row>
    <row r="602" spans="2:6" x14ac:dyDescent="0.2">
      <c r="B602" s="305" t="s">
        <v>447</v>
      </c>
      <c r="C602" s="307" t="s">
        <v>478</v>
      </c>
      <c r="D602" s="306" t="s">
        <v>2582</v>
      </c>
      <c r="E602" s="307" t="s">
        <v>2583</v>
      </c>
      <c r="F602" s="308" t="s">
        <v>2583</v>
      </c>
    </row>
    <row r="603" spans="2:6" x14ac:dyDescent="0.2">
      <c r="B603" s="303" t="s">
        <v>537</v>
      </c>
      <c r="C603" s="258" t="s">
        <v>543</v>
      </c>
      <c r="D603" s="259" t="s">
        <v>2584</v>
      </c>
      <c r="E603" s="258" t="s">
        <v>2585</v>
      </c>
      <c r="F603" s="304" t="s">
        <v>2585</v>
      </c>
    </row>
    <row r="604" spans="2:6" x14ac:dyDescent="0.2">
      <c r="B604" s="305" t="s">
        <v>393</v>
      </c>
      <c r="C604" s="307" t="s">
        <v>406</v>
      </c>
      <c r="D604" s="306" t="s">
        <v>2586</v>
      </c>
      <c r="E604" s="307" t="s">
        <v>2587</v>
      </c>
      <c r="F604" s="308" t="s">
        <v>2587</v>
      </c>
    </row>
    <row r="605" spans="2:6" x14ac:dyDescent="0.2">
      <c r="B605" s="303" t="s">
        <v>505</v>
      </c>
      <c r="C605" s="258" t="s">
        <v>511</v>
      </c>
      <c r="D605" s="259" t="s">
        <v>2588</v>
      </c>
      <c r="E605" s="258" t="s">
        <v>2589</v>
      </c>
      <c r="F605" s="304" t="s">
        <v>2589</v>
      </c>
    </row>
    <row r="606" spans="2:6" x14ac:dyDescent="0.2">
      <c r="B606" s="305" t="s">
        <v>537</v>
      </c>
      <c r="C606" s="307" t="s">
        <v>540</v>
      </c>
      <c r="D606" s="306" t="s">
        <v>2590</v>
      </c>
      <c r="E606" s="307" t="s">
        <v>2591</v>
      </c>
      <c r="F606" s="308" t="s">
        <v>2591</v>
      </c>
    </row>
    <row r="607" spans="2:6" x14ac:dyDescent="0.2">
      <c r="B607" s="303" t="s">
        <v>505</v>
      </c>
      <c r="C607" s="258" t="s">
        <v>511</v>
      </c>
      <c r="D607" s="259" t="s">
        <v>2592</v>
      </c>
      <c r="E607" s="258" t="s">
        <v>2593</v>
      </c>
      <c r="F607" s="304" t="s">
        <v>2593</v>
      </c>
    </row>
    <row r="608" spans="2:6" x14ac:dyDescent="0.2">
      <c r="B608" s="305" t="s">
        <v>537</v>
      </c>
      <c r="C608" s="307" t="s">
        <v>543</v>
      </c>
      <c r="D608" s="306" t="s">
        <v>2594</v>
      </c>
      <c r="E608" s="307" t="s">
        <v>2595</v>
      </c>
      <c r="F608" s="308" t="s">
        <v>2595</v>
      </c>
    </row>
    <row r="609" spans="2:6" x14ac:dyDescent="0.2">
      <c r="B609" s="303" t="s">
        <v>505</v>
      </c>
      <c r="C609" s="258" t="s">
        <v>511</v>
      </c>
      <c r="D609" s="259" t="s">
        <v>2596</v>
      </c>
      <c r="E609" s="258" t="s">
        <v>2597</v>
      </c>
      <c r="F609" s="304" t="s">
        <v>2597</v>
      </c>
    </row>
    <row r="610" spans="2:6" x14ac:dyDescent="0.2">
      <c r="B610" s="305" t="s">
        <v>447</v>
      </c>
      <c r="C610" s="307" t="s">
        <v>478</v>
      </c>
      <c r="D610" s="306" t="s">
        <v>2598</v>
      </c>
      <c r="E610" s="307" t="s">
        <v>2599</v>
      </c>
      <c r="F610" s="308" t="s">
        <v>2599</v>
      </c>
    </row>
    <row r="611" spans="2:6" x14ac:dyDescent="0.2">
      <c r="B611" s="303" t="s">
        <v>393</v>
      </c>
      <c r="C611" s="258" t="s">
        <v>406</v>
      </c>
      <c r="D611" s="259" t="s">
        <v>2600</v>
      </c>
      <c r="E611" s="258" t="s">
        <v>2601</v>
      </c>
      <c r="F611" s="304" t="s">
        <v>2602</v>
      </c>
    </row>
    <row r="612" spans="2:6" x14ac:dyDescent="0.2">
      <c r="B612" s="305" t="s">
        <v>447</v>
      </c>
      <c r="C612" s="307" t="s">
        <v>478</v>
      </c>
      <c r="D612" s="306" t="s">
        <v>2603</v>
      </c>
      <c r="E612" s="307" t="s">
        <v>2604</v>
      </c>
      <c r="F612" s="308" t="s">
        <v>2604</v>
      </c>
    </row>
    <row r="613" spans="2:6" x14ac:dyDescent="0.2">
      <c r="B613" s="303" t="s">
        <v>537</v>
      </c>
      <c r="C613" s="258" t="s">
        <v>543</v>
      </c>
      <c r="D613" s="259" t="s">
        <v>2605</v>
      </c>
      <c r="E613" s="258" t="s">
        <v>2606</v>
      </c>
      <c r="F613" s="304" t="s">
        <v>2606</v>
      </c>
    </row>
    <row r="614" spans="2:6" x14ac:dyDescent="0.2">
      <c r="B614" s="305" t="s">
        <v>505</v>
      </c>
      <c r="C614" s="307" t="s">
        <v>511</v>
      </c>
      <c r="D614" s="306" t="s">
        <v>2607</v>
      </c>
      <c r="E614" s="307" t="s">
        <v>2608</v>
      </c>
      <c r="F614" s="308" t="s">
        <v>2609</v>
      </c>
    </row>
    <row r="615" spans="2:6" x14ac:dyDescent="0.2">
      <c r="B615" s="303" t="s">
        <v>447</v>
      </c>
      <c r="C615" s="258" t="s">
        <v>748</v>
      </c>
      <c r="D615" s="259" t="s">
        <v>2610</v>
      </c>
      <c r="E615" s="258" t="s">
        <v>2611</v>
      </c>
      <c r="F615" s="304" t="s">
        <v>2611</v>
      </c>
    </row>
    <row r="616" spans="2:6" x14ac:dyDescent="0.2">
      <c r="B616" s="305" t="s">
        <v>393</v>
      </c>
      <c r="C616" s="307" t="s">
        <v>394</v>
      </c>
      <c r="D616" s="306" t="s">
        <v>2612</v>
      </c>
      <c r="E616" s="307" t="s">
        <v>2613</v>
      </c>
      <c r="F616" s="308" t="s">
        <v>2613</v>
      </c>
    </row>
    <row r="617" spans="2:6" x14ac:dyDescent="0.2">
      <c r="B617" s="303" t="s">
        <v>447</v>
      </c>
      <c r="C617" s="258" t="s">
        <v>748</v>
      </c>
      <c r="D617" s="259" t="s">
        <v>2614</v>
      </c>
      <c r="E617" s="258" t="s">
        <v>2615</v>
      </c>
      <c r="F617" s="304" t="s">
        <v>2615</v>
      </c>
    </row>
    <row r="618" spans="2:6" x14ac:dyDescent="0.2">
      <c r="B618" s="305" t="s">
        <v>432</v>
      </c>
      <c r="C618" s="307" t="s">
        <v>437</v>
      </c>
      <c r="D618" s="306" t="s">
        <v>2616</v>
      </c>
      <c r="E618" s="307" t="s">
        <v>2617</v>
      </c>
      <c r="F618" s="308" t="s">
        <v>2617</v>
      </c>
    </row>
    <row r="619" spans="2:6" x14ac:dyDescent="0.2">
      <c r="B619" s="303" t="s">
        <v>537</v>
      </c>
      <c r="C619" s="258" t="s">
        <v>543</v>
      </c>
      <c r="D619" s="259" t="s">
        <v>2618</v>
      </c>
      <c r="E619" s="258" t="s">
        <v>2619</v>
      </c>
      <c r="F619" s="304" t="s">
        <v>2619</v>
      </c>
    </row>
    <row r="620" spans="2:6" x14ac:dyDescent="0.2">
      <c r="B620" s="305" t="s">
        <v>447</v>
      </c>
      <c r="C620" s="307" t="s">
        <v>462</v>
      </c>
      <c r="D620" s="306" t="s">
        <v>2620</v>
      </c>
      <c r="E620" s="307" t="s">
        <v>2621</v>
      </c>
      <c r="F620" s="308" t="s">
        <v>2621</v>
      </c>
    </row>
    <row r="621" spans="2:6" x14ac:dyDescent="0.2">
      <c r="B621" s="303" t="s">
        <v>447</v>
      </c>
      <c r="C621" s="258" t="s">
        <v>487</v>
      </c>
      <c r="D621" s="259" t="s">
        <v>2622</v>
      </c>
      <c r="E621" s="258" t="s">
        <v>2623</v>
      </c>
      <c r="F621" s="304" t="s">
        <v>2623</v>
      </c>
    </row>
    <row r="622" spans="2:6" x14ac:dyDescent="0.2">
      <c r="B622" s="305" t="s">
        <v>447</v>
      </c>
      <c r="C622" s="307" t="s">
        <v>1526</v>
      </c>
      <c r="D622" s="306" t="s">
        <v>2624</v>
      </c>
      <c r="E622" s="307" t="s">
        <v>2625</v>
      </c>
      <c r="F622" s="308" t="s">
        <v>2625</v>
      </c>
    </row>
    <row r="623" spans="2:6" x14ac:dyDescent="0.2">
      <c r="B623" s="303" t="s">
        <v>393</v>
      </c>
      <c r="C623" s="258" t="s">
        <v>394</v>
      </c>
      <c r="D623" s="259" t="s">
        <v>2626</v>
      </c>
      <c r="E623" s="258" t="s">
        <v>2627</v>
      </c>
      <c r="F623" s="304" t="s">
        <v>2627</v>
      </c>
    </row>
    <row r="624" spans="2:6" x14ac:dyDescent="0.2">
      <c r="B624" s="305" t="s">
        <v>393</v>
      </c>
      <c r="C624" s="307" t="s">
        <v>394</v>
      </c>
      <c r="D624" s="306" t="s">
        <v>2628</v>
      </c>
      <c r="E624" s="307" t="s">
        <v>2629</v>
      </c>
      <c r="F624" s="308" t="s">
        <v>2629</v>
      </c>
    </row>
    <row r="625" spans="2:6" x14ac:dyDescent="0.2">
      <c r="B625" s="303" t="s">
        <v>447</v>
      </c>
      <c r="C625" s="258" t="s">
        <v>478</v>
      </c>
      <c r="D625" s="259" t="s">
        <v>2630</v>
      </c>
      <c r="E625" s="258" t="s">
        <v>2631</v>
      </c>
      <c r="F625" s="304" t="s">
        <v>2631</v>
      </c>
    </row>
    <row r="626" spans="2:6" x14ac:dyDescent="0.2">
      <c r="B626" s="305" t="s">
        <v>505</v>
      </c>
      <c r="C626" s="307" t="s">
        <v>511</v>
      </c>
      <c r="D626" s="306" t="s">
        <v>2632</v>
      </c>
      <c r="E626" s="307" t="s">
        <v>2633</v>
      </c>
      <c r="F626" s="308" t="s">
        <v>2633</v>
      </c>
    </row>
    <row r="627" spans="2:6" x14ac:dyDescent="0.2">
      <c r="B627" s="303" t="s">
        <v>609</v>
      </c>
      <c r="C627" s="258" t="s">
        <v>640</v>
      </c>
      <c r="D627" s="259" t="s">
        <v>1015</v>
      </c>
      <c r="E627" s="258" t="s">
        <v>2634</v>
      </c>
      <c r="F627" s="304" t="s">
        <v>2634</v>
      </c>
    </row>
    <row r="628" spans="2:6" x14ac:dyDescent="0.2">
      <c r="B628" s="305" t="s">
        <v>447</v>
      </c>
      <c r="C628" s="307" t="s">
        <v>478</v>
      </c>
      <c r="D628" s="306" t="s">
        <v>2635</v>
      </c>
      <c r="E628" s="307" t="s">
        <v>2636</v>
      </c>
      <c r="F628" s="308" t="s">
        <v>2637</v>
      </c>
    </row>
    <row r="629" spans="2:6" x14ac:dyDescent="0.2">
      <c r="B629" s="303" t="s">
        <v>432</v>
      </c>
      <c r="C629" s="258" t="s">
        <v>433</v>
      </c>
      <c r="D629" s="259" t="s">
        <v>2638</v>
      </c>
      <c r="E629" s="258" t="s">
        <v>2639</v>
      </c>
      <c r="F629" s="304" t="s">
        <v>2639</v>
      </c>
    </row>
    <row r="630" spans="2:6" x14ac:dyDescent="0.2">
      <c r="B630" s="305" t="s">
        <v>447</v>
      </c>
      <c r="C630" s="307" t="s">
        <v>475</v>
      </c>
      <c r="D630" s="306" t="s">
        <v>2640</v>
      </c>
      <c r="E630" s="307" t="s">
        <v>2641</v>
      </c>
      <c r="F630" s="308" t="s">
        <v>2641</v>
      </c>
    </row>
    <row r="631" spans="2:6" x14ac:dyDescent="0.2">
      <c r="B631" s="303" t="s">
        <v>447</v>
      </c>
      <c r="C631" s="258" t="s">
        <v>1610</v>
      </c>
      <c r="D631" s="259" t="s">
        <v>2642</v>
      </c>
      <c r="E631" s="258" t="s">
        <v>2643</v>
      </c>
      <c r="F631" s="304" t="s">
        <v>2643</v>
      </c>
    </row>
    <row r="632" spans="2:6" x14ac:dyDescent="0.2">
      <c r="B632" s="305" t="s">
        <v>447</v>
      </c>
      <c r="C632" s="307" t="s">
        <v>462</v>
      </c>
      <c r="D632" s="306" t="s">
        <v>2644</v>
      </c>
      <c r="E632" s="307" t="s">
        <v>2645</v>
      </c>
      <c r="F632" s="308" t="s">
        <v>2645</v>
      </c>
    </row>
    <row r="633" spans="2:6" x14ac:dyDescent="0.2">
      <c r="B633" s="303" t="s">
        <v>447</v>
      </c>
      <c r="C633" s="258" t="s">
        <v>462</v>
      </c>
      <c r="D633" s="259" t="s">
        <v>2646</v>
      </c>
      <c r="E633" s="258" t="s">
        <v>2647</v>
      </c>
      <c r="F633" s="304" t="s">
        <v>2647</v>
      </c>
    </row>
    <row r="634" spans="2:6" x14ac:dyDescent="0.2">
      <c r="B634" s="305" t="s">
        <v>422</v>
      </c>
      <c r="C634" s="307" t="s">
        <v>423</v>
      </c>
      <c r="D634" s="306" t="s">
        <v>2648</v>
      </c>
      <c r="E634" s="307" t="s">
        <v>2649</v>
      </c>
      <c r="F634" s="308" t="s">
        <v>2649</v>
      </c>
    </row>
    <row r="635" spans="2:6" x14ac:dyDescent="0.2">
      <c r="B635" s="303" t="s">
        <v>447</v>
      </c>
      <c r="C635" s="258" t="s">
        <v>465</v>
      </c>
      <c r="D635" s="259" t="s">
        <v>2650</v>
      </c>
      <c r="E635" s="258" t="s">
        <v>2651</v>
      </c>
      <c r="F635" s="304" t="s">
        <v>2651</v>
      </c>
    </row>
    <row r="636" spans="2:6" x14ac:dyDescent="0.2">
      <c r="B636" s="305" t="s">
        <v>422</v>
      </c>
      <c r="C636" s="307" t="s">
        <v>423</v>
      </c>
      <c r="D636" s="306" t="s">
        <v>2652</v>
      </c>
      <c r="E636" s="307" t="s">
        <v>2653</v>
      </c>
      <c r="F636" s="308" t="s">
        <v>2653</v>
      </c>
    </row>
    <row r="637" spans="2:6" x14ac:dyDescent="0.2">
      <c r="B637" s="303" t="s">
        <v>537</v>
      </c>
      <c r="C637" s="258" t="s">
        <v>543</v>
      </c>
      <c r="D637" s="259" t="s">
        <v>2654</v>
      </c>
      <c r="E637" s="258" t="s">
        <v>2655</v>
      </c>
      <c r="F637" s="304" t="s">
        <v>2655</v>
      </c>
    </row>
    <row r="638" spans="2:6" x14ac:dyDescent="0.2">
      <c r="B638" s="305" t="s">
        <v>432</v>
      </c>
      <c r="C638" s="307" t="s">
        <v>433</v>
      </c>
      <c r="D638" s="306" t="s">
        <v>2656</v>
      </c>
      <c r="E638" s="307" t="s">
        <v>2657</v>
      </c>
      <c r="F638" s="308" t="s">
        <v>2657</v>
      </c>
    </row>
    <row r="639" spans="2:6" x14ac:dyDescent="0.2">
      <c r="B639" s="303" t="s">
        <v>447</v>
      </c>
      <c r="C639" s="258" t="s">
        <v>500</v>
      </c>
      <c r="D639" s="259" t="s">
        <v>2658</v>
      </c>
      <c r="E639" s="258" t="s">
        <v>2659</v>
      </c>
      <c r="F639" s="304" t="s">
        <v>2659</v>
      </c>
    </row>
    <row r="640" spans="2:6" x14ac:dyDescent="0.2">
      <c r="B640" s="305" t="s">
        <v>432</v>
      </c>
      <c r="C640" s="307" t="s">
        <v>437</v>
      </c>
      <c r="D640" s="306" t="s">
        <v>2660</v>
      </c>
      <c r="E640" s="307" t="s">
        <v>2661</v>
      </c>
      <c r="F640" s="308" t="s">
        <v>2661</v>
      </c>
    </row>
    <row r="641" spans="2:6" x14ac:dyDescent="0.2">
      <c r="B641" s="303" t="s">
        <v>447</v>
      </c>
      <c r="C641" s="258" t="s">
        <v>487</v>
      </c>
      <c r="D641" s="259" t="s">
        <v>2662</v>
      </c>
      <c r="E641" s="258" t="s">
        <v>2663</v>
      </c>
      <c r="F641" s="304" t="s">
        <v>2663</v>
      </c>
    </row>
    <row r="642" spans="2:6" x14ac:dyDescent="0.2">
      <c r="B642" s="305" t="s">
        <v>447</v>
      </c>
      <c r="C642" s="307" t="s">
        <v>1526</v>
      </c>
      <c r="D642" s="306" t="s">
        <v>2664</v>
      </c>
      <c r="E642" s="307" t="s">
        <v>2665</v>
      </c>
      <c r="F642" s="308" t="s">
        <v>2665</v>
      </c>
    </row>
    <row r="643" spans="2:6" x14ac:dyDescent="0.2">
      <c r="B643" s="303" t="s">
        <v>432</v>
      </c>
      <c r="C643" s="258" t="s">
        <v>437</v>
      </c>
      <c r="D643" s="259" t="s">
        <v>2666</v>
      </c>
      <c r="E643" s="258" t="s">
        <v>2667</v>
      </c>
      <c r="F643" s="304" t="s">
        <v>2667</v>
      </c>
    </row>
    <row r="644" spans="2:6" x14ac:dyDescent="0.2">
      <c r="B644" s="305" t="s">
        <v>447</v>
      </c>
      <c r="C644" s="307" t="s">
        <v>1526</v>
      </c>
      <c r="D644" s="306" t="s">
        <v>2668</v>
      </c>
      <c r="E644" s="307" t="s">
        <v>2669</v>
      </c>
      <c r="F644" s="308" t="s">
        <v>2669</v>
      </c>
    </row>
    <row r="645" spans="2:6" x14ac:dyDescent="0.2">
      <c r="B645" s="303" t="s">
        <v>447</v>
      </c>
      <c r="C645" s="258" t="s">
        <v>465</v>
      </c>
      <c r="D645" s="259" t="s">
        <v>2670</v>
      </c>
      <c r="E645" s="258" t="s">
        <v>2671</v>
      </c>
      <c r="F645" s="304" t="s">
        <v>2671</v>
      </c>
    </row>
    <row r="646" spans="2:6" x14ac:dyDescent="0.2">
      <c r="B646" s="305" t="s">
        <v>447</v>
      </c>
      <c r="C646" s="307" t="s">
        <v>748</v>
      </c>
      <c r="D646" s="306" t="s">
        <v>1275</v>
      </c>
      <c r="E646" s="307" t="s">
        <v>2672</v>
      </c>
      <c r="F646" s="308" t="s">
        <v>2672</v>
      </c>
    </row>
    <row r="647" spans="2:6" x14ac:dyDescent="0.2">
      <c r="B647" s="303" t="s">
        <v>447</v>
      </c>
      <c r="C647" s="258" t="s">
        <v>487</v>
      </c>
      <c r="D647" s="259" t="s">
        <v>2673</v>
      </c>
      <c r="E647" s="258" t="s">
        <v>2674</v>
      </c>
      <c r="F647" s="304" t="s">
        <v>2674</v>
      </c>
    </row>
    <row r="648" spans="2:6" x14ac:dyDescent="0.2">
      <c r="B648" s="305" t="s">
        <v>447</v>
      </c>
      <c r="C648" s="307" t="s">
        <v>475</v>
      </c>
      <c r="D648" s="306" t="s">
        <v>2675</v>
      </c>
      <c r="E648" s="307" t="s">
        <v>2676</v>
      </c>
      <c r="F648" s="308" t="s">
        <v>2676</v>
      </c>
    </row>
    <row r="649" spans="2:6" x14ac:dyDescent="0.2">
      <c r="B649" s="303" t="s">
        <v>447</v>
      </c>
      <c r="C649" s="258" t="s">
        <v>475</v>
      </c>
      <c r="D649" s="259" t="s">
        <v>2677</v>
      </c>
      <c r="E649" s="258" t="s">
        <v>2678</v>
      </c>
      <c r="F649" s="304" t="s">
        <v>2678</v>
      </c>
    </row>
    <row r="650" spans="2:6" x14ac:dyDescent="0.2">
      <c r="B650" s="305" t="s">
        <v>505</v>
      </c>
      <c r="C650" s="307" t="s">
        <v>511</v>
      </c>
      <c r="D650" s="306" t="s">
        <v>2679</v>
      </c>
      <c r="E650" s="307" t="s">
        <v>2680</v>
      </c>
      <c r="F650" s="308" t="s">
        <v>2680</v>
      </c>
    </row>
    <row r="651" spans="2:6" x14ac:dyDescent="0.2">
      <c r="B651" s="303" t="s">
        <v>422</v>
      </c>
      <c r="C651" s="258" t="s">
        <v>423</v>
      </c>
      <c r="D651" s="259" t="s">
        <v>2681</v>
      </c>
      <c r="E651" s="258" t="s">
        <v>2682</v>
      </c>
      <c r="F651" s="304" t="s">
        <v>2682</v>
      </c>
    </row>
    <row r="652" spans="2:6" x14ac:dyDescent="0.2">
      <c r="B652" s="305" t="s">
        <v>447</v>
      </c>
      <c r="C652" s="307" t="s">
        <v>478</v>
      </c>
      <c r="D652" s="306" t="s">
        <v>2683</v>
      </c>
      <c r="E652" s="307" t="s">
        <v>2684</v>
      </c>
      <c r="F652" s="308" t="s">
        <v>2684</v>
      </c>
    </row>
    <row r="653" spans="2:6" x14ac:dyDescent="0.2">
      <c r="B653" s="303" t="s">
        <v>447</v>
      </c>
      <c r="C653" s="258" t="s">
        <v>454</v>
      </c>
      <c r="D653" s="259" t="s">
        <v>2685</v>
      </c>
      <c r="E653" s="258" t="s">
        <v>2686</v>
      </c>
      <c r="F653" s="304" t="s">
        <v>2686</v>
      </c>
    </row>
    <row r="654" spans="2:6" x14ac:dyDescent="0.2">
      <c r="B654" s="305" t="s">
        <v>447</v>
      </c>
      <c r="C654" s="307" t="s">
        <v>462</v>
      </c>
      <c r="D654" s="306" t="s">
        <v>2687</v>
      </c>
      <c r="E654" s="307" t="s">
        <v>2688</v>
      </c>
      <c r="F654" s="308" t="s">
        <v>2688</v>
      </c>
    </row>
    <row r="655" spans="2:6" x14ac:dyDescent="0.2">
      <c r="B655" s="303" t="s">
        <v>447</v>
      </c>
      <c r="C655" s="258" t="s">
        <v>465</v>
      </c>
      <c r="D655" s="259" t="s">
        <v>2689</v>
      </c>
      <c r="E655" s="258" t="s">
        <v>2690</v>
      </c>
      <c r="F655" s="304" t="s">
        <v>2690</v>
      </c>
    </row>
    <row r="656" spans="2:6" x14ac:dyDescent="0.2">
      <c r="B656" s="305" t="s">
        <v>447</v>
      </c>
      <c r="C656" s="307" t="s">
        <v>478</v>
      </c>
      <c r="D656" s="306" t="s">
        <v>1278</v>
      </c>
      <c r="E656" s="307" t="s">
        <v>2691</v>
      </c>
      <c r="F656" s="308" t="s">
        <v>2692</v>
      </c>
    </row>
    <row r="657" spans="2:6" x14ac:dyDescent="0.2">
      <c r="B657" s="303" t="s">
        <v>447</v>
      </c>
      <c r="C657" s="258" t="s">
        <v>475</v>
      </c>
      <c r="D657" s="259" t="s">
        <v>2693</v>
      </c>
      <c r="E657" s="258" t="s">
        <v>2694</v>
      </c>
      <c r="F657" s="304" t="s">
        <v>2694</v>
      </c>
    </row>
    <row r="658" spans="2:6" x14ac:dyDescent="0.2">
      <c r="B658" s="305" t="s">
        <v>432</v>
      </c>
      <c r="C658" s="307" t="s">
        <v>437</v>
      </c>
      <c r="D658" s="306" t="s">
        <v>2695</v>
      </c>
      <c r="E658" s="307" t="s">
        <v>2696</v>
      </c>
      <c r="F658" s="308" t="s">
        <v>2696</v>
      </c>
    </row>
    <row r="659" spans="2:6" x14ac:dyDescent="0.2">
      <c r="B659" s="303" t="s">
        <v>447</v>
      </c>
      <c r="C659" s="258" t="s">
        <v>500</v>
      </c>
      <c r="D659" s="259" t="s">
        <v>2697</v>
      </c>
      <c r="E659" s="258" t="s">
        <v>2698</v>
      </c>
      <c r="F659" s="304" t="s">
        <v>2698</v>
      </c>
    </row>
    <row r="660" spans="2:6" x14ac:dyDescent="0.2">
      <c r="B660" s="305" t="s">
        <v>393</v>
      </c>
      <c r="C660" s="307" t="s">
        <v>394</v>
      </c>
      <c r="D660" s="306" t="s">
        <v>2699</v>
      </c>
      <c r="E660" s="307" t="s">
        <v>2700</v>
      </c>
      <c r="F660" s="308" t="s">
        <v>2700</v>
      </c>
    </row>
    <row r="661" spans="2:6" x14ac:dyDescent="0.2">
      <c r="B661" s="303" t="s">
        <v>447</v>
      </c>
      <c r="C661" s="258" t="s">
        <v>470</v>
      </c>
      <c r="D661" s="259" t="s">
        <v>2701</v>
      </c>
      <c r="E661" s="258" t="s">
        <v>2702</v>
      </c>
      <c r="F661" s="304" t="s">
        <v>2702</v>
      </c>
    </row>
    <row r="662" spans="2:6" x14ac:dyDescent="0.2">
      <c r="B662" s="305" t="s">
        <v>447</v>
      </c>
      <c r="C662" s="307" t="s">
        <v>465</v>
      </c>
      <c r="D662" s="306" t="s">
        <v>2703</v>
      </c>
      <c r="E662" s="307" t="s">
        <v>2704</v>
      </c>
      <c r="F662" s="308" t="s">
        <v>2705</v>
      </c>
    </row>
    <row r="663" spans="2:6" x14ac:dyDescent="0.2">
      <c r="B663" s="303" t="s">
        <v>447</v>
      </c>
      <c r="C663" s="258" t="s">
        <v>748</v>
      </c>
      <c r="D663" s="259" t="s">
        <v>2706</v>
      </c>
      <c r="E663" s="258" t="s">
        <v>2707</v>
      </c>
      <c r="F663" s="304" t="s">
        <v>2707</v>
      </c>
    </row>
    <row r="664" spans="2:6" x14ac:dyDescent="0.2">
      <c r="B664" s="305" t="s">
        <v>447</v>
      </c>
      <c r="C664" s="307" t="s">
        <v>470</v>
      </c>
      <c r="D664" s="306" t="s">
        <v>2708</v>
      </c>
      <c r="E664" s="307" t="s">
        <v>2709</v>
      </c>
      <c r="F664" s="308" t="s">
        <v>2709</v>
      </c>
    </row>
    <row r="665" spans="2:6" x14ac:dyDescent="0.2">
      <c r="B665" s="303" t="s">
        <v>537</v>
      </c>
      <c r="C665" s="258" t="s">
        <v>543</v>
      </c>
      <c r="D665" s="259" t="s">
        <v>2710</v>
      </c>
      <c r="E665" s="258" t="s">
        <v>2711</v>
      </c>
      <c r="F665" s="304" t="s">
        <v>2711</v>
      </c>
    </row>
    <row r="666" spans="2:6" x14ac:dyDescent="0.2">
      <c r="B666" s="305" t="s">
        <v>447</v>
      </c>
      <c r="C666" s="307" t="s">
        <v>1526</v>
      </c>
      <c r="D666" s="306" t="s">
        <v>2712</v>
      </c>
      <c r="E666" s="307" t="s">
        <v>2713</v>
      </c>
      <c r="F666" s="308" t="s">
        <v>2713</v>
      </c>
    </row>
    <row r="667" spans="2:6" x14ac:dyDescent="0.2">
      <c r="B667" s="303" t="s">
        <v>537</v>
      </c>
      <c r="C667" s="258" t="s">
        <v>543</v>
      </c>
      <c r="D667" s="259" t="s">
        <v>2714</v>
      </c>
      <c r="E667" s="258" t="s">
        <v>2715</v>
      </c>
      <c r="F667" s="304" t="s">
        <v>2715</v>
      </c>
    </row>
    <row r="668" spans="2:6" x14ac:dyDescent="0.2">
      <c r="B668" s="305" t="s">
        <v>447</v>
      </c>
      <c r="C668" s="307" t="s">
        <v>748</v>
      </c>
      <c r="D668" s="306" t="s">
        <v>2716</v>
      </c>
      <c r="E668" s="307" t="s">
        <v>2717</v>
      </c>
      <c r="F668" s="308" t="s">
        <v>2717</v>
      </c>
    </row>
    <row r="669" spans="2:6" x14ac:dyDescent="0.2">
      <c r="B669" s="303" t="s">
        <v>447</v>
      </c>
      <c r="C669" s="258" t="s">
        <v>1610</v>
      </c>
      <c r="D669" s="259" t="s">
        <v>2718</v>
      </c>
      <c r="E669" s="258" t="s">
        <v>2719</v>
      </c>
      <c r="F669" s="304" t="s">
        <v>2719</v>
      </c>
    </row>
    <row r="670" spans="2:6" x14ac:dyDescent="0.2">
      <c r="B670" s="305" t="s">
        <v>447</v>
      </c>
      <c r="C670" s="307" t="s">
        <v>475</v>
      </c>
      <c r="D670" s="306" t="s">
        <v>2720</v>
      </c>
      <c r="E670" s="307" t="s">
        <v>2721</v>
      </c>
      <c r="F670" s="308" t="s">
        <v>2721</v>
      </c>
    </row>
    <row r="671" spans="2:6" x14ac:dyDescent="0.2">
      <c r="B671" s="303" t="s">
        <v>447</v>
      </c>
      <c r="C671" s="258" t="s">
        <v>475</v>
      </c>
      <c r="D671" s="259" t="s">
        <v>2722</v>
      </c>
      <c r="E671" s="258" t="s">
        <v>2723</v>
      </c>
      <c r="F671" s="304" t="s">
        <v>2723</v>
      </c>
    </row>
    <row r="672" spans="2:6" x14ac:dyDescent="0.2">
      <c r="B672" s="305" t="s">
        <v>432</v>
      </c>
      <c r="C672" s="307" t="s">
        <v>433</v>
      </c>
      <c r="D672" s="306" t="s">
        <v>2724</v>
      </c>
      <c r="E672" s="307" t="s">
        <v>2725</v>
      </c>
      <c r="F672" s="308" t="s">
        <v>2725</v>
      </c>
    </row>
    <row r="673" spans="2:6" x14ac:dyDescent="0.2">
      <c r="B673" s="303" t="s">
        <v>447</v>
      </c>
      <c r="C673" s="258" t="s">
        <v>448</v>
      </c>
      <c r="D673" s="259" t="s">
        <v>2726</v>
      </c>
      <c r="E673" s="258" t="s">
        <v>2727</v>
      </c>
      <c r="F673" s="304" t="s">
        <v>2727</v>
      </c>
    </row>
    <row r="674" spans="2:6" x14ac:dyDescent="0.2">
      <c r="B674" s="305" t="s">
        <v>447</v>
      </c>
      <c r="C674" s="307" t="s">
        <v>465</v>
      </c>
      <c r="D674" s="306" t="s">
        <v>2728</v>
      </c>
      <c r="E674" s="307" t="s">
        <v>2729</v>
      </c>
      <c r="F674" s="308" t="s">
        <v>2729</v>
      </c>
    </row>
    <row r="675" spans="2:6" x14ac:dyDescent="0.2">
      <c r="B675" s="303" t="s">
        <v>447</v>
      </c>
      <c r="C675" s="258" t="s">
        <v>470</v>
      </c>
      <c r="D675" s="259" t="s">
        <v>2730</v>
      </c>
      <c r="E675" s="258" t="s">
        <v>2731</v>
      </c>
      <c r="F675" s="304" t="s">
        <v>2732</v>
      </c>
    </row>
    <row r="676" spans="2:6" x14ac:dyDescent="0.2">
      <c r="B676" s="305" t="s">
        <v>422</v>
      </c>
      <c r="C676" s="307" t="s">
        <v>423</v>
      </c>
      <c r="D676" s="306" t="s">
        <v>2733</v>
      </c>
      <c r="E676" s="307" t="s">
        <v>2734</v>
      </c>
      <c r="F676" s="308" t="s">
        <v>2734</v>
      </c>
    </row>
    <row r="677" spans="2:6" x14ac:dyDescent="0.2">
      <c r="B677" s="303" t="s">
        <v>447</v>
      </c>
      <c r="C677" s="258" t="s">
        <v>1556</v>
      </c>
      <c r="D677" s="259" t="s">
        <v>2735</v>
      </c>
      <c r="E677" s="258" t="s">
        <v>2736</v>
      </c>
      <c r="F677" s="304" t="s">
        <v>2736</v>
      </c>
    </row>
    <row r="678" spans="2:6" x14ac:dyDescent="0.2">
      <c r="B678" s="305" t="s">
        <v>393</v>
      </c>
      <c r="C678" s="307" t="s">
        <v>406</v>
      </c>
      <c r="D678" s="306" t="s">
        <v>2737</v>
      </c>
      <c r="E678" s="307" t="s">
        <v>2738</v>
      </c>
      <c r="F678" s="308" t="s">
        <v>2739</v>
      </c>
    </row>
    <row r="679" spans="2:6" x14ac:dyDescent="0.2">
      <c r="B679" s="303" t="s">
        <v>447</v>
      </c>
      <c r="C679" s="258" t="s">
        <v>475</v>
      </c>
      <c r="D679" s="259" t="s">
        <v>2740</v>
      </c>
      <c r="E679" s="258" t="s">
        <v>2741</v>
      </c>
      <c r="F679" s="304" t="s">
        <v>2741</v>
      </c>
    </row>
    <row r="680" spans="2:6" x14ac:dyDescent="0.2">
      <c r="B680" s="305" t="s">
        <v>432</v>
      </c>
      <c r="C680" s="307" t="s">
        <v>433</v>
      </c>
      <c r="D680" s="306" t="s">
        <v>2742</v>
      </c>
      <c r="E680" s="307" t="s">
        <v>2743</v>
      </c>
      <c r="F680" s="308" t="s">
        <v>2743</v>
      </c>
    </row>
    <row r="681" spans="2:6" x14ac:dyDescent="0.2">
      <c r="B681" s="303" t="s">
        <v>447</v>
      </c>
      <c r="C681" s="258" t="s">
        <v>487</v>
      </c>
      <c r="D681" s="259" t="s">
        <v>2744</v>
      </c>
      <c r="E681" s="258" t="s">
        <v>2745</v>
      </c>
      <c r="F681" s="304" t="s">
        <v>2745</v>
      </c>
    </row>
    <row r="682" spans="2:6" x14ac:dyDescent="0.2">
      <c r="B682" s="305" t="s">
        <v>393</v>
      </c>
      <c r="C682" s="307" t="s">
        <v>394</v>
      </c>
      <c r="D682" s="306" t="s">
        <v>1167</v>
      </c>
      <c r="E682" s="307" t="s">
        <v>2746</v>
      </c>
      <c r="F682" s="308" t="s">
        <v>2747</v>
      </c>
    </row>
    <row r="683" spans="2:6" x14ac:dyDescent="0.2">
      <c r="B683" s="303" t="s">
        <v>447</v>
      </c>
      <c r="C683" s="258" t="s">
        <v>1526</v>
      </c>
      <c r="D683" s="259" t="s">
        <v>2748</v>
      </c>
      <c r="E683" s="258" t="s">
        <v>2749</v>
      </c>
      <c r="F683" s="304" t="s">
        <v>2749</v>
      </c>
    </row>
    <row r="684" spans="2:6" x14ac:dyDescent="0.2">
      <c r="B684" s="305" t="s">
        <v>447</v>
      </c>
      <c r="C684" s="307" t="s">
        <v>454</v>
      </c>
      <c r="D684" s="306" t="s">
        <v>2750</v>
      </c>
      <c r="E684" s="307" t="s">
        <v>2751</v>
      </c>
      <c r="F684" s="308" t="s">
        <v>2751</v>
      </c>
    </row>
    <row r="685" spans="2:6" x14ac:dyDescent="0.2">
      <c r="B685" s="303" t="s">
        <v>447</v>
      </c>
      <c r="C685" s="258" t="s">
        <v>1526</v>
      </c>
      <c r="D685" s="259" t="s">
        <v>2752</v>
      </c>
      <c r="E685" s="258" t="s">
        <v>2753</v>
      </c>
      <c r="F685" s="304" t="s">
        <v>2753</v>
      </c>
    </row>
    <row r="686" spans="2:6" x14ac:dyDescent="0.2">
      <c r="B686" s="305" t="s">
        <v>393</v>
      </c>
      <c r="C686" s="307" t="s">
        <v>406</v>
      </c>
      <c r="D686" s="306" t="s">
        <v>2754</v>
      </c>
      <c r="E686" s="307" t="s">
        <v>2755</v>
      </c>
      <c r="F686" s="308" t="s">
        <v>2755</v>
      </c>
    </row>
    <row r="687" spans="2:6" x14ac:dyDescent="0.2">
      <c r="B687" s="303" t="s">
        <v>447</v>
      </c>
      <c r="C687" s="258" t="s">
        <v>1526</v>
      </c>
      <c r="D687" s="259" t="s">
        <v>2756</v>
      </c>
      <c r="E687" s="258" t="s">
        <v>2757</v>
      </c>
      <c r="F687" s="304" t="s">
        <v>2757</v>
      </c>
    </row>
    <row r="688" spans="2:6" x14ac:dyDescent="0.2">
      <c r="B688" s="305" t="s">
        <v>537</v>
      </c>
      <c r="C688" s="307" t="s">
        <v>543</v>
      </c>
      <c r="D688" s="306" t="s">
        <v>2758</v>
      </c>
      <c r="E688" s="307" t="s">
        <v>2759</v>
      </c>
      <c r="F688" s="308" t="s">
        <v>2759</v>
      </c>
    </row>
    <row r="689" spans="2:6" x14ac:dyDescent="0.2">
      <c r="B689" s="303" t="s">
        <v>505</v>
      </c>
      <c r="C689" s="258" t="s">
        <v>511</v>
      </c>
      <c r="D689" s="259" t="s">
        <v>2760</v>
      </c>
      <c r="E689" s="258" t="s">
        <v>2761</v>
      </c>
      <c r="F689" s="304" t="s">
        <v>2761</v>
      </c>
    </row>
    <row r="690" spans="2:6" x14ac:dyDescent="0.2">
      <c r="B690" s="305" t="s">
        <v>447</v>
      </c>
      <c r="C690" s="307" t="s">
        <v>500</v>
      </c>
      <c r="D690" s="306" t="s">
        <v>2762</v>
      </c>
      <c r="E690" s="307" t="s">
        <v>2763</v>
      </c>
      <c r="F690" s="308" t="s">
        <v>2763</v>
      </c>
    </row>
    <row r="691" spans="2:6" x14ac:dyDescent="0.2">
      <c r="B691" s="303" t="s">
        <v>447</v>
      </c>
      <c r="C691" s="258" t="s">
        <v>475</v>
      </c>
      <c r="D691" s="259" t="s">
        <v>2764</v>
      </c>
      <c r="E691" s="258" t="s">
        <v>2765</v>
      </c>
      <c r="F691" s="304" t="s">
        <v>2765</v>
      </c>
    </row>
    <row r="692" spans="2:6" x14ac:dyDescent="0.2">
      <c r="B692" s="305" t="s">
        <v>537</v>
      </c>
      <c r="C692" s="307" t="s">
        <v>543</v>
      </c>
      <c r="D692" s="306" t="s">
        <v>2766</v>
      </c>
      <c r="E692" s="307" t="s">
        <v>2767</v>
      </c>
      <c r="F692" s="308" t="s">
        <v>2768</v>
      </c>
    </row>
    <row r="693" spans="2:6" x14ac:dyDescent="0.2">
      <c r="B693" s="303" t="s">
        <v>447</v>
      </c>
      <c r="C693" s="258" t="s">
        <v>465</v>
      </c>
      <c r="D693" s="259" t="s">
        <v>2769</v>
      </c>
      <c r="E693" s="258" t="s">
        <v>2770</v>
      </c>
      <c r="F693" s="304" t="s">
        <v>2770</v>
      </c>
    </row>
    <row r="694" spans="2:6" x14ac:dyDescent="0.2">
      <c r="B694" s="305" t="s">
        <v>447</v>
      </c>
      <c r="C694" s="307" t="s">
        <v>475</v>
      </c>
      <c r="D694" s="306" t="s">
        <v>2771</v>
      </c>
      <c r="E694" s="307" t="s">
        <v>2772</v>
      </c>
      <c r="F694" s="308" t="s">
        <v>2772</v>
      </c>
    </row>
    <row r="695" spans="2:6" x14ac:dyDescent="0.2">
      <c r="B695" s="303" t="s">
        <v>537</v>
      </c>
      <c r="C695" s="258" t="s">
        <v>540</v>
      </c>
      <c r="D695" s="259" t="s">
        <v>2773</v>
      </c>
      <c r="E695" s="258" t="s">
        <v>2774</v>
      </c>
      <c r="F695" s="304" t="s">
        <v>2774</v>
      </c>
    </row>
    <row r="696" spans="2:6" x14ac:dyDescent="0.2">
      <c r="B696" s="305" t="s">
        <v>447</v>
      </c>
      <c r="C696" s="307" t="s">
        <v>500</v>
      </c>
      <c r="D696" s="306" t="s">
        <v>2775</v>
      </c>
      <c r="E696" s="307" t="s">
        <v>2776</v>
      </c>
      <c r="F696" s="308" t="s">
        <v>2776</v>
      </c>
    </row>
    <row r="697" spans="2:6" x14ac:dyDescent="0.2">
      <c r="B697" s="303" t="s">
        <v>447</v>
      </c>
      <c r="C697" s="258" t="s">
        <v>448</v>
      </c>
      <c r="D697" s="259" t="s">
        <v>2777</v>
      </c>
      <c r="E697" s="258" t="s">
        <v>2778</v>
      </c>
      <c r="F697" s="304" t="s">
        <v>2778</v>
      </c>
    </row>
    <row r="698" spans="2:6" x14ac:dyDescent="0.2">
      <c r="B698" s="305" t="s">
        <v>432</v>
      </c>
      <c r="C698" s="307" t="s">
        <v>433</v>
      </c>
      <c r="D698" s="306" t="s">
        <v>2779</v>
      </c>
      <c r="E698" s="307" t="s">
        <v>2780</v>
      </c>
      <c r="F698" s="308" t="s">
        <v>2781</v>
      </c>
    </row>
    <row r="699" spans="2:6" x14ac:dyDescent="0.2">
      <c r="B699" s="303" t="s">
        <v>393</v>
      </c>
      <c r="C699" s="258" t="s">
        <v>406</v>
      </c>
      <c r="D699" s="259" t="s">
        <v>2782</v>
      </c>
      <c r="E699" s="258" t="s">
        <v>2783</v>
      </c>
      <c r="F699" s="304" t="s">
        <v>2783</v>
      </c>
    </row>
    <row r="700" spans="2:6" x14ac:dyDescent="0.2">
      <c r="B700" s="305" t="s">
        <v>393</v>
      </c>
      <c r="C700" s="307" t="s">
        <v>406</v>
      </c>
      <c r="D700" s="306" t="s">
        <v>2784</v>
      </c>
      <c r="E700" s="307" t="s">
        <v>2785</v>
      </c>
      <c r="F700" s="308" t="s">
        <v>2785</v>
      </c>
    </row>
    <row r="701" spans="2:6" x14ac:dyDescent="0.2">
      <c r="B701" s="303" t="s">
        <v>447</v>
      </c>
      <c r="C701" s="258" t="s">
        <v>465</v>
      </c>
      <c r="D701" s="259" t="s">
        <v>2786</v>
      </c>
      <c r="E701" s="258" t="s">
        <v>2787</v>
      </c>
      <c r="F701" s="304" t="s">
        <v>2787</v>
      </c>
    </row>
    <row r="702" spans="2:6" x14ac:dyDescent="0.2">
      <c r="B702" s="305" t="s">
        <v>447</v>
      </c>
      <c r="C702" s="307" t="s">
        <v>475</v>
      </c>
      <c r="D702" s="306" t="s">
        <v>2788</v>
      </c>
      <c r="E702" s="307" t="s">
        <v>2789</v>
      </c>
      <c r="F702" s="308" t="s">
        <v>2790</v>
      </c>
    </row>
    <row r="703" spans="2:6" x14ac:dyDescent="0.2">
      <c r="B703" s="303" t="s">
        <v>447</v>
      </c>
      <c r="C703" s="258" t="s">
        <v>475</v>
      </c>
      <c r="D703" s="259" t="s">
        <v>2791</v>
      </c>
      <c r="E703" s="258" t="s">
        <v>2792</v>
      </c>
      <c r="F703" s="304" t="s">
        <v>2792</v>
      </c>
    </row>
    <row r="704" spans="2:6" x14ac:dyDescent="0.2">
      <c r="B704" s="305" t="s">
        <v>537</v>
      </c>
      <c r="C704" s="307" t="s">
        <v>543</v>
      </c>
      <c r="D704" s="306" t="s">
        <v>2793</v>
      </c>
      <c r="E704" s="307" t="s">
        <v>2794</v>
      </c>
      <c r="F704" s="308" t="s">
        <v>2794</v>
      </c>
    </row>
    <row r="705" spans="2:6" x14ac:dyDescent="0.2">
      <c r="B705" s="303" t="s">
        <v>537</v>
      </c>
      <c r="C705" s="258" t="s">
        <v>543</v>
      </c>
      <c r="D705" s="259" t="s">
        <v>2795</v>
      </c>
      <c r="E705" s="258" t="s">
        <v>2796</v>
      </c>
      <c r="F705" s="304" t="s">
        <v>2796</v>
      </c>
    </row>
    <row r="706" spans="2:6" x14ac:dyDescent="0.2">
      <c r="B706" s="305" t="s">
        <v>447</v>
      </c>
      <c r="C706" s="307" t="s">
        <v>1610</v>
      </c>
      <c r="D706" s="306" t="s">
        <v>2797</v>
      </c>
      <c r="E706" s="307" t="s">
        <v>2798</v>
      </c>
      <c r="F706" s="308" t="s">
        <v>2798</v>
      </c>
    </row>
    <row r="707" spans="2:6" x14ac:dyDescent="0.2">
      <c r="B707" s="303" t="s">
        <v>447</v>
      </c>
      <c r="C707" s="258" t="s">
        <v>478</v>
      </c>
      <c r="D707" s="259" t="s">
        <v>2799</v>
      </c>
      <c r="E707" s="258" t="s">
        <v>2800</v>
      </c>
      <c r="F707" s="304" t="s">
        <v>2800</v>
      </c>
    </row>
    <row r="708" spans="2:6" x14ac:dyDescent="0.2">
      <c r="B708" s="305" t="s">
        <v>447</v>
      </c>
      <c r="C708" s="307" t="s">
        <v>472</v>
      </c>
      <c r="D708" s="306" t="s">
        <v>2801</v>
      </c>
      <c r="E708" s="307" t="s">
        <v>2802</v>
      </c>
      <c r="F708" s="308" t="s">
        <v>2802</v>
      </c>
    </row>
    <row r="709" spans="2:6" x14ac:dyDescent="0.2">
      <c r="B709" s="303" t="s">
        <v>447</v>
      </c>
      <c r="C709" s="258" t="s">
        <v>748</v>
      </c>
      <c r="D709" s="259" t="s">
        <v>2803</v>
      </c>
      <c r="E709" s="258" t="s">
        <v>2804</v>
      </c>
      <c r="F709" s="304" t="s">
        <v>2804</v>
      </c>
    </row>
    <row r="710" spans="2:6" x14ac:dyDescent="0.2">
      <c r="B710" s="305" t="s">
        <v>393</v>
      </c>
      <c r="C710" s="307" t="s">
        <v>406</v>
      </c>
      <c r="D710" s="306" t="s">
        <v>2805</v>
      </c>
      <c r="E710" s="307" t="s">
        <v>2806</v>
      </c>
      <c r="F710" s="308" t="s">
        <v>2806</v>
      </c>
    </row>
    <row r="711" spans="2:6" x14ac:dyDescent="0.2">
      <c r="B711" s="303" t="s">
        <v>447</v>
      </c>
      <c r="C711" s="258" t="s">
        <v>459</v>
      </c>
      <c r="D711" s="259" t="s">
        <v>2807</v>
      </c>
      <c r="E711" s="258" t="s">
        <v>2808</v>
      </c>
      <c r="F711" s="304" t="s">
        <v>2808</v>
      </c>
    </row>
    <row r="712" spans="2:6" x14ac:dyDescent="0.2">
      <c r="B712" s="305" t="s">
        <v>447</v>
      </c>
      <c r="C712" s="307" t="s">
        <v>451</v>
      </c>
      <c r="D712" s="306" t="s">
        <v>2809</v>
      </c>
      <c r="E712" s="307" t="s">
        <v>2810</v>
      </c>
      <c r="F712" s="308" t="s">
        <v>2810</v>
      </c>
    </row>
    <row r="713" spans="2:6" x14ac:dyDescent="0.2">
      <c r="B713" s="303" t="s">
        <v>505</v>
      </c>
      <c r="C713" s="258" t="s">
        <v>511</v>
      </c>
      <c r="D713" s="259" t="s">
        <v>2811</v>
      </c>
      <c r="E713" s="258" t="s">
        <v>2812</v>
      </c>
      <c r="F713" s="304" t="s">
        <v>2812</v>
      </c>
    </row>
    <row r="714" spans="2:6" x14ac:dyDescent="0.2">
      <c r="B714" s="305" t="s">
        <v>447</v>
      </c>
      <c r="C714" s="307" t="s">
        <v>500</v>
      </c>
      <c r="D714" s="306" t="s">
        <v>2813</v>
      </c>
      <c r="E714" s="307" t="s">
        <v>2814</v>
      </c>
      <c r="F714" s="308" t="s">
        <v>2814</v>
      </c>
    </row>
    <row r="715" spans="2:6" x14ac:dyDescent="0.2">
      <c r="B715" s="303" t="s">
        <v>537</v>
      </c>
      <c r="C715" s="258" t="s">
        <v>543</v>
      </c>
      <c r="D715" s="259" t="s">
        <v>2815</v>
      </c>
      <c r="E715" s="258" t="s">
        <v>2816</v>
      </c>
      <c r="F715" s="304" t="s">
        <v>2816</v>
      </c>
    </row>
    <row r="716" spans="2:6" x14ac:dyDescent="0.2">
      <c r="B716" s="305" t="s">
        <v>447</v>
      </c>
      <c r="C716" s="307" t="s">
        <v>451</v>
      </c>
      <c r="D716" s="306" t="s">
        <v>2817</v>
      </c>
      <c r="E716" s="307" t="s">
        <v>2818</v>
      </c>
      <c r="F716" s="308" t="s">
        <v>2818</v>
      </c>
    </row>
    <row r="717" spans="2:6" x14ac:dyDescent="0.2">
      <c r="B717" s="303" t="s">
        <v>447</v>
      </c>
      <c r="C717" s="258" t="s">
        <v>462</v>
      </c>
      <c r="D717" s="259" t="s">
        <v>2819</v>
      </c>
      <c r="E717" s="258" t="s">
        <v>2820</v>
      </c>
      <c r="F717" s="304" t="s">
        <v>2820</v>
      </c>
    </row>
    <row r="718" spans="2:6" x14ac:dyDescent="0.2">
      <c r="B718" s="305" t="s">
        <v>432</v>
      </c>
      <c r="C718" s="307" t="s">
        <v>433</v>
      </c>
      <c r="D718" s="306" t="s">
        <v>2821</v>
      </c>
      <c r="E718" s="307" t="s">
        <v>2822</v>
      </c>
      <c r="F718" s="308" t="s">
        <v>2822</v>
      </c>
    </row>
    <row r="719" spans="2:6" x14ac:dyDescent="0.2">
      <c r="B719" s="303" t="s">
        <v>447</v>
      </c>
      <c r="C719" s="258" t="s">
        <v>475</v>
      </c>
      <c r="D719" s="259" t="s">
        <v>2823</v>
      </c>
      <c r="E719" s="258" t="s">
        <v>2824</v>
      </c>
      <c r="F719" s="304" t="s">
        <v>2824</v>
      </c>
    </row>
    <row r="720" spans="2:6" x14ac:dyDescent="0.2">
      <c r="B720" s="305" t="s">
        <v>447</v>
      </c>
      <c r="C720" s="307" t="s">
        <v>478</v>
      </c>
      <c r="D720" s="306" t="s">
        <v>2825</v>
      </c>
      <c r="E720" s="307" t="s">
        <v>2826</v>
      </c>
      <c r="F720" s="308" t="s">
        <v>2826</v>
      </c>
    </row>
    <row r="721" spans="2:6" x14ac:dyDescent="0.2">
      <c r="B721" s="303" t="s">
        <v>447</v>
      </c>
      <c r="C721" s="258" t="s">
        <v>1526</v>
      </c>
      <c r="D721" s="259" t="s">
        <v>2827</v>
      </c>
      <c r="E721" s="258" t="s">
        <v>2828</v>
      </c>
      <c r="F721" s="304" t="s">
        <v>2828</v>
      </c>
    </row>
    <row r="722" spans="2:6" x14ac:dyDescent="0.2">
      <c r="B722" s="305" t="s">
        <v>537</v>
      </c>
      <c r="C722" s="307" t="s">
        <v>543</v>
      </c>
      <c r="D722" s="306" t="s">
        <v>2829</v>
      </c>
      <c r="E722" s="307" t="s">
        <v>2830</v>
      </c>
      <c r="F722" s="308" t="s">
        <v>2830</v>
      </c>
    </row>
    <row r="723" spans="2:6" x14ac:dyDescent="0.2">
      <c r="B723" s="303" t="s">
        <v>447</v>
      </c>
      <c r="C723" s="258" t="s">
        <v>487</v>
      </c>
      <c r="D723" s="259" t="s">
        <v>2831</v>
      </c>
      <c r="E723" s="258" t="s">
        <v>2832</v>
      </c>
      <c r="F723" s="304" t="s">
        <v>2832</v>
      </c>
    </row>
    <row r="724" spans="2:6" x14ac:dyDescent="0.2">
      <c r="B724" s="305" t="s">
        <v>609</v>
      </c>
      <c r="C724" s="307" t="s">
        <v>640</v>
      </c>
      <c r="D724" s="306" t="s">
        <v>2833</v>
      </c>
      <c r="E724" s="307" t="s">
        <v>2834</v>
      </c>
      <c r="F724" s="308" t="s">
        <v>2834</v>
      </c>
    </row>
    <row r="725" spans="2:6" x14ac:dyDescent="0.2">
      <c r="B725" s="303" t="s">
        <v>447</v>
      </c>
      <c r="C725" s="258" t="s">
        <v>459</v>
      </c>
      <c r="D725" s="259" t="s">
        <v>2835</v>
      </c>
      <c r="E725" s="258" t="s">
        <v>2836</v>
      </c>
      <c r="F725" s="304" t="s">
        <v>2837</v>
      </c>
    </row>
    <row r="726" spans="2:6" x14ac:dyDescent="0.2">
      <c r="B726" s="305" t="s">
        <v>447</v>
      </c>
      <c r="C726" s="307" t="s">
        <v>478</v>
      </c>
      <c r="D726" s="306" t="s">
        <v>2838</v>
      </c>
      <c r="E726" s="307" t="s">
        <v>2839</v>
      </c>
      <c r="F726" s="308" t="s">
        <v>2840</v>
      </c>
    </row>
    <row r="727" spans="2:6" x14ac:dyDescent="0.2">
      <c r="B727" s="303" t="s">
        <v>447</v>
      </c>
      <c r="C727" s="258" t="s">
        <v>475</v>
      </c>
      <c r="D727" s="259" t="s">
        <v>2841</v>
      </c>
      <c r="E727" s="258" t="s">
        <v>2842</v>
      </c>
      <c r="F727" s="304" t="s">
        <v>2842</v>
      </c>
    </row>
    <row r="728" spans="2:6" x14ac:dyDescent="0.2">
      <c r="B728" s="305" t="s">
        <v>447</v>
      </c>
      <c r="C728" s="307" t="s">
        <v>748</v>
      </c>
      <c r="D728" s="306" t="s">
        <v>2843</v>
      </c>
      <c r="E728" s="307" t="s">
        <v>2844</v>
      </c>
      <c r="F728" s="308" t="s">
        <v>2844</v>
      </c>
    </row>
    <row r="729" spans="2:6" x14ac:dyDescent="0.2">
      <c r="B729" s="303" t="s">
        <v>432</v>
      </c>
      <c r="C729" s="258" t="s">
        <v>433</v>
      </c>
      <c r="D729" s="259" t="s">
        <v>2845</v>
      </c>
      <c r="E729" s="258" t="s">
        <v>2846</v>
      </c>
      <c r="F729" s="304" t="s">
        <v>2846</v>
      </c>
    </row>
    <row r="730" spans="2:6" x14ac:dyDescent="0.2">
      <c r="B730" s="305" t="s">
        <v>432</v>
      </c>
      <c r="C730" s="307" t="s">
        <v>437</v>
      </c>
      <c r="D730" s="306" t="s">
        <v>2847</v>
      </c>
      <c r="E730" s="307" t="s">
        <v>2848</v>
      </c>
      <c r="F730" s="308" t="s">
        <v>2848</v>
      </c>
    </row>
    <row r="731" spans="2:6" x14ac:dyDescent="0.2">
      <c r="B731" s="303" t="s">
        <v>447</v>
      </c>
      <c r="C731" s="258" t="s">
        <v>478</v>
      </c>
      <c r="D731" s="259" t="s">
        <v>2849</v>
      </c>
      <c r="E731" s="258" t="s">
        <v>2850</v>
      </c>
      <c r="F731" s="304" t="s">
        <v>2850</v>
      </c>
    </row>
    <row r="732" spans="2:6" x14ac:dyDescent="0.2">
      <c r="B732" s="305" t="s">
        <v>505</v>
      </c>
      <c r="C732" s="307" t="s">
        <v>511</v>
      </c>
      <c r="D732" s="306" t="s">
        <v>2851</v>
      </c>
      <c r="E732" s="307" t="s">
        <v>2852</v>
      </c>
      <c r="F732" s="308" t="s">
        <v>2852</v>
      </c>
    </row>
    <row r="733" spans="2:6" x14ac:dyDescent="0.2">
      <c r="B733" s="303" t="s">
        <v>447</v>
      </c>
      <c r="C733" s="258" t="s">
        <v>475</v>
      </c>
      <c r="D733" s="259" t="s">
        <v>2853</v>
      </c>
      <c r="E733" s="258" t="s">
        <v>2854</v>
      </c>
      <c r="F733" s="304" t="s">
        <v>2854</v>
      </c>
    </row>
    <row r="734" spans="2:6" x14ac:dyDescent="0.2">
      <c r="B734" s="305" t="s">
        <v>447</v>
      </c>
      <c r="C734" s="307" t="s">
        <v>500</v>
      </c>
      <c r="D734" s="306" t="s">
        <v>2855</v>
      </c>
      <c r="E734" s="307" t="s">
        <v>2856</v>
      </c>
      <c r="F734" s="308" t="s">
        <v>2856</v>
      </c>
    </row>
    <row r="735" spans="2:6" x14ac:dyDescent="0.2">
      <c r="B735" s="303" t="s">
        <v>505</v>
      </c>
      <c r="C735" s="258" t="s">
        <v>511</v>
      </c>
      <c r="D735" s="259" t="s">
        <v>2857</v>
      </c>
      <c r="E735" s="258" t="s">
        <v>2858</v>
      </c>
      <c r="F735" s="304" t="s">
        <v>2858</v>
      </c>
    </row>
    <row r="736" spans="2:6" x14ac:dyDescent="0.2">
      <c r="B736" s="305" t="s">
        <v>537</v>
      </c>
      <c r="C736" s="307" t="s">
        <v>543</v>
      </c>
      <c r="D736" s="306" t="s">
        <v>2859</v>
      </c>
      <c r="E736" s="307" t="s">
        <v>2860</v>
      </c>
      <c r="F736" s="308" t="s">
        <v>2860</v>
      </c>
    </row>
    <row r="737" spans="2:6" x14ac:dyDescent="0.2">
      <c r="B737" s="303" t="s">
        <v>609</v>
      </c>
      <c r="C737" s="258" t="s">
        <v>619</v>
      </c>
      <c r="D737" s="259" t="s">
        <v>2861</v>
      </c>
      <c r="E737" s="258" t="s">
        <v>2862</v>
      </c>
      <c r="F737" s="304" t="s">
        <v>2863</v>
      </c>
    </row>
    <row r="738" spans="2:6" x14ac:dyDescent="0.2">
      <c r="B738" s="305" t="s">
        <v>447</v>
      </c>
      <c r="C738" s="307" t="s">
        <v>1526</v>
      </c>
      <c r="D738" s="306" t="s">
        <v>2864</v>
      </c>
      <c r="E738" s="307" t="s">
        <v>2865</v>
      </c>
      <c r="F738" s="308" t="s">
        <v>2866</v>
      </c>
    </row>
    <row r="739" spans="2:6" x14ac:dyDescent="0.2">
      <c r="B739" s="303" t="s">
        <v>447</v>
      </c>
      <c r="C739" s="258" t="s">
        <v>748</v>
      </c>
      <c r="D739" s="259" t="s">
        <v>2867</v>
      </c>
      <c r="E739" s="258" t="s">
        <v>2868</v>
      </c>
      <c r="F739" s="304" t="s">
        <v>2868</v>
      </c>
    </row>
    <row r="740" spans="2:6" x14ac:dyDescent="0.2">
      <c r="B740" s="305" t="s">
        <v>432</v>
      </c>
      <c r="C740" s="307" t="s">
        <v>433</v>
      </c>
      <c r="D740" s="306" t="s">
        <v>2869</v>
      </c>
      <c r="E740" s="307" t="s">
        <v>2870</v>
      </c>
      <c r="F740" s="308" t="s">
        <v>2870</v>
      </c>
    </row>
    <row r="741" spans="2:6" x14ac:dyDescent="0.2">
      <c r="B741" s="303" t="s">
        <v>447</v>
      </c>
      <c r="C741" s="258" t="s">
        <v>462</v>
      </c>
      <c r="D741" s="259" t="s">
        <v>2871</v>
      </c>
      <c r="E741" s="258" t="s">
        <v>2872</v>
      </c>
      <c r="F741" s="304" t="s">
        <v>2872</v>
      </c>
    </row>
    <row r="742" spans="2:6" x14ac:dyDescent="0.2">
      <c r="B742" s="305" t="s">
        <v>537</v>
      </c>
      <c r="C742" s="307" t="s">
        <v>543</v>
      </c>
      <c r="D742" s="306" t="s">
        <v>2873</v>
      </c>
      <c r="E742" s="307" t="s">
        <v>2874</v>
      </c>
      <c r="F742" s="308" t="s">
        <v>2875</v>
      </c>
    </row>
    <row r="743" spans="2:6" x14ac:dyDescent="0.2">
      <c r="B743" s="303" t="s">
        <v>432</v>
      </c>
      <c r="C743" s="258" t="s">
        <v>433</v>
      </c>
      <c r="D743" s="259" t="s">
        <v>2876</v>
      </c>
      <c r="E743" s="258" t="s">
        <v>2877</v>
      </c>
      <c r="F743" s="304" t="s">
        <v>2877</v>
      </c>
    </row>
    <row r="744" spans="2:6" x14ac:dyDescent="0.2">
      <c r="B744" s="305" t="s">
        <v>537</v>
      </c>
      <c r="C744" s="307" t="s">
        <v>540</v>
      </c>
      <c r="D744" s="306" t="s">
        <v>2878</v>
      </c>
      <c r="E744" s="307" t="s">
        <v>2879</v>
      </c>
      <c r="F744" s="308" t="s">
        <v>2879</v>
      </c>
    </row>
    <row r="745" spans="2:6" x14ac:dyDescent="0.2">
      <c r="B745" s="303" t="s">
        <v>447</v>
      </c>
      <c r="C745" s="258" t="s">
        <v>475</v>
      </c>
      <c r="D745" s="259" t="s">
        <v>2880</v>
      </c>
      <c r="E745" s="258" t="s">
        <v>2881</v>
      </c>
      <c r="F745" s="304" t="s">
        <v>2882</v>
      </c>
    </row>
    <row r="746" spans="2:6" x14ac:dyDescent="0.2">
      <c r="B746" s="305" t="s">
        <v>505</v>
      </c>
      <c r="C746" s="307" t="s">
        <v>511</v>
      </c>
      <c r="D746" s="306" t="s">
        <v>2883</v>
      </c>
      <c r="E746" s="307" t="s">
        <v>2884</v>
      </c>
      <c r="F746" s="308" t="s">
        <v>2884</v>
      </c>
    </row>
    <row r="747" spans="2:6" x14ac:dyDescent="0.2">
      <c r="B747" s="303" t="s">
        <v>537</v>
      </c>
      <c r="C747" s="258" t="s">
        <v>543</v>
      </c>
      <c r="D747" s="259" t="s">
        <v>2885</v>
      </c>
      <c r="E747" s="258" t="s">
        <v>2886</v>
      </c>
      <c r="F747" s="304" t="s">
        <v>2887</v>
      </c>
    </row>
    <row r="748" spans="2:6" x14ac:dyDescent="0.2">
      <c r="B748" s="305" t="s">
        <v>447</v>
      </c>
      <c r="C748" s="307" t="s">
        <v>462</v>
      </c>
      <c r="D748" s="306" t="s">
        <v>2888</v>
      </c>
      <c r="E748" s="307" t="s">
        <v>2889</v>
      </c>
      <c r="F748" s="308" t="s">
        <v>2889</v>
      </c>
    </row>
    <row r="749" spans="2:6" x14ac:dyDescent="0.2">
      <c r="B749" s="303" t="s">
        <v>505</v>
      </c>
      <c r="C749" s="258" t="s">
        <v>511</v>
      </c>
      <c r="D749" s="259" t="s">
        <v>2890</v>
      </c>
      <c r="E749" s="258" t="s">
        <v>2891</v>
      </c>
      <c r="F749" s="304" t="s">
        <v>2891</v>
      </c>
    </row>
    <row r="750" spans="2:6" x14ac:dyDescent="0.2">
      <c r="B750" s="305" t="s">
        <v>609</v>
      </c>
      <c r="C750" s="307" t="s">
        <v>678</v>
      </c>
      <c r="D750" s="306" t="s">
        <v>2892</v>
      </c>
      <c r="E750" s="307" t="s">
        <v>2893</v>
      </c>
      <c r="F750" s="308" t="s">
        <v>2893</v>
      </c>
    </row>
    <row r="751" spans="2:6" x14ac:dyDescent="0.2">
      <c r="B751" s="303" t="s">
        <v>447</v>
      </c>
      <c r="C751" s="258" t="s">
        <v>748</v>
      </c>
      <c r="D751" s="259" t="s">
        <v>2894</v>
      </c>
      <c r="E751" s="258" t="s">
        <v>2895</v>
      </c>
      <c r="F751" s="304" t="s">
        <v>2895</v>
      </c>
    </row>
    <row r="752" spans="2:6" x14ac:dyDescent="0.2">
      <c r="B752" s="305" t="s">
        <v>447</v>
      </c>
      <c r="C752" s="307" t="s">
        <v>478</v>
      </c>
      <c r="D752" s="306" t="s">
        <v>2896</v>
      </c>
      <c r="E752" s="307" t="s">
        <v>2897</v>
      </c>
      <c r="F752" s="308" t="s">
        <v>2897</v>
      </c>
    </row>
    <row r="753" spans="2:6" x14ac:dyDescent="0.2">
      <c r="B753" s="303" t="s">
        <v>505</v>
      </c>
      <c r="C753" s="258" t="s">
        <v>511</v>
      </c>
      <c r="D753" s="259" t="s">
        <v>2898</v>
      </c>
      <c r="E753" s="258" t="s">
        <v>2899</v>
      </c>
      <c r="F753" s="304" t="s">
        <v>2899</v>
      </c>
    </row>
    <row r="754" spans="2:6" x14ac:dyDescent="0.2">
      <c r="B754" s="305" t="s">
        <v>537</v>
      </c>
      <c r="C754" s="307" t="s">
        <v>543</v>
      </c>
      <c r="D754" s="306" t="s">
        <v>2900</v>
      </c>
      <c r="E754" s="307" t="s">
        <v>2901</v>
      </c>
      <c r="F754" s="308" t="s">
        <v>2901</v>
      </c>
    </row>
    <row r="755" spans="2:6" x14ac:dyDescent="0.2">
      <c r="B755" s="303" t="s">
        <v>447</v>
      </c>
      <c r="C755" s="258" t="s">
        <v>470</v>
      </c>
      <c r="D755" s="259" t="s">
        <v>2902</v>
      </c>
      <c r="E755" s="258" t="s">
        <v>2903</v>
      </c>
      <c r="F755" s="304" t="s">
        <v>2903</v>
      </c>
    </row>
    <row r="756" spans="2:6" x14ac:dyDescent="0.2">
      <c r="B756" s="305" t="s">
        <v>447</v>
      </c>
      <c r="C756" s="307" t="s">
        <v>500</v>
      </c>
      <c r="D756" s="306" t="s">
        <v>2904</v>
      </c>
      <c r="E756" s="307" t="s">
        <v>2905</v>
      </c>
      <c r="F756" s="308" t="s">
        <v>2906</v>
      </c>
    </row>
    <row r="757" spans="2:6" x14ac:dyDescent="0.2">
      <c r="B757" s="303" t="s">
        <v>432</v>
      </c>
      <c r="C757" s="258" t="s">
        <v>437</v>
      </c>
      <c r="D757" s="259" t="s">
        <v>2907</v>
      </c>
      <c r="E757" s="258" t="s">
        <v>2908</v>
      </c>
      <c r="F757" s="304" t="s">
        <v>2908</v>
      </c>
    </row>
    <row r="758" spans="2:6" x14ac:dyDescent="0.2">
      <c r="B758" s="305" t="s">
        <v>447</v>
      </c>
      <c r="C758" s="307" t="s">
        <v>1526</v>
      </c>
      <c r="D758" s="306" t="s">
        <v>2909</v>
      </c>
      <c r="E758" s="307" t="s">
        <v>2910</v>
      </c>
      <c r="F758" s="308" t="s">
        <v>2910</v>
      </c>
    </row>
    <row r="759" spans="2:6" x14ac:dyDescent="0.2">
      <c r="B759" s="303" t="s">
        <v>393</v>
      </c>
      <c r="C759" s="258" t="s">
        <v>394</v>
      </c>
      <c r="D759" s="259" t="s">
        <v>2911</v>
      </c>
      <c r="E759" s="258" t="s">
        <v>2912</v>
      </c>
      <c r="F759" s="304" t="s">
        <v>2912</v>
      </c>
    </row>
    <row r="760" spans="2:6" x14ac:dyDescent="0.2">
      <c r="B760" s="305" t="s">
        <v>505</v>
      </c>
      <c r="C760" s="307" t="s">
        <v>511</v>
      </c>
      <c r="D760" s="306" t="s">
        <v>2913</v>
      </c>
      <c r="E760" s="307" t="s">
        <v>2914</v>
      </c>
      <c r="F760" s="308" t="s">
        <v>2914</v>
      </c>
    </row>
    <row r="761" spans="2:6" x14ac:dyDescent="0.2">
      <c r="B761" s="303" t="s">
        <v>505</v>
      </c>
      <c r="C761" s="258" t="s">
        <v>511</v>
      </c>
      <c r="D761" s="259" t="s">
        <v>2915</v>
      </c>
      <c r="E761" s="258" t="s">
        <v>2916</v>
      </c>
      <c r="F761" s="304" t="s">
        <v>2916</v>
      </c>
    </row>
    <row r="762" spans="2:6" x14ac:dyDescent="0.2">
      <c r="B762" s="305" t="s">
        <v>557</v>
      </c>
      <c r="C762" s="307" t="s">
        <v>570</v>
      </c>
      <c r="D762" s="306" t="s">
        <v>2917</v>
      </c>
      <c r="E762" s="307" t="s">
        <v>2918</v>
      </c>
      <c r="F762" s="308" t="s">
        <v>2918</v>
      </c>
    </row>
    <row r="763" spans="2:6" x14ac:dyDescent="0.2">
      <c r="B763" s="303" t="s">
        <v>447</v>
      </c>
      <c r="C763" s="258" t="s">
        <v>454</v>
      </c>
      <c r="D763" s="259" t="s">
        <v>2919</v>
      </c>
      <c r="E763" s="258" t="s">
        <v>2920</v>
      </c>
      <c r="F763" s="304" t="s">
        <v>2920</v>
      </c>
    </row>
    <row r="764" spans="2:6" x14ac:dyDescent="0.2">
      <c r="B764" s="305" t="s">
        <v>537</v>
      </c>
      <c r="C764" s="307" t="s">
        <v>543</v>
      </c>
      <c r="D764" s="306" t="s">
        <v>2921</v>
      </c>
      <c r="E764" s="307" t="s">
        <v>2922</v>
      </c>
      <c r="F764" s="308" t="s">
        <v>2922</v>
      </c>
    </row>
    <row r="765" spans="2:6" x14ac:dyDescent="0.2">
      <c r="B765" s="303" t="s">
        <v>393</v>
      </c>
      <c r="C765" s="258" t="s">
        <v>394</v>
      </c>
      <c r="D765" s="259" t="s">
        <v>2923</v>
      </c>
      <c r="E765" s="258" t="s">
        <v>2924</v>
      </c>
      <c r="F765" s="304" t="s">
        <v>2924</v>
      </c>
    </row>
    <row r="766" spans="2:6" x14ac:dyDescent="0.2">
      <c r="B766" s="305" t="s">
        <v>447</v>
      </c>
      <c r="C766" s="307" t="s">
        <v>1526</v>
      </c>
      <c r="D766" s="306" t="s">
        <v>2925</v>
      </c>
      <c r="E766" s="307" t="s">
        <v>2926</v>
      </c>
      <c r="F766" s="308" t="s">
        <v>2926</v>
      </c>
    </row>
    <row r="767" spans="2:6" x14ac:dyDescent="0.2">
      <c r="B767" s="303" t="s">
        <v>447</v>
      </c>
      <c r="C767" s="258" t="s">
        <v>478</v>
      </c>
      <c r="D767" s="259" t="s">
        <v>2927</v>
      </c>
      <c r="E767" s="258" t="s">
        <v>2928</v>
      </c>
      <c r="F767" s="304" t="s">
        <v>2928</v>
      </c>
    </row>
    <row r="768" spans="2:6" x14ac:dyDescent="0.2">
      <c r="B768" s="305" t="s">
        <v>609</v>
      </c>
      <c r="C768" s="307" t="s">
        <v>610</v>
      </c>
      <c r="D768" s="306" t="s">
        <v>1076</v>
      </c>
      <c r="E768" s="307" t="s">
        <v>2929</v>
      </c>
      <c r="F768" s="308" t="s">
        <v>2930</v>
      </c>
    </row>
    <row r="769" spans="2:6" x14ac:dyDescent="0.2">
      <c r="B769" s="303" t="s">
        <v>447</v>
      </c>
      <c r="C769" s="258" t="s">
        <v>748</v>
      </c>
      <c r="D769" s="259" t="s">
        <v>2931</v>
      </c>
      <c r="E769" s="258" t="s">
        <v>2932</v>
      </c>
      <c r="F769" s="304" t="s">
        <v>2932</v>
      </c>
    </row>
    <row r="770" spans="2:6" x14ac:dyDescent="0.2">
      <c r="B770" s="305" t="s">
        <v>447</v>
      </c>
      <c r="C770" s="307" t="s">
        <v>462</v>
      </c>
      <c r="D770" s="306" t="s">
        <v>2933</v>
      </c>
      <c r="E770" s="307" t="s">
        <v>2934</v>
      </c>
      <c r="F770" s="308" t="s">
        <v>2934</v>
      </c>
    </row>
    <row r="771" spans="2:6" x14ac:dyDescent="0.2">
      <c r="B771" s="303" t="s">
        <v>393</v>
      </c>
      <c r="C771" s="258" t="s">
        <v>406</v>
      </c>
      <c r="D771" s="259" t="s">
        <v>2935</v>
      </c>
      <c r="E771" s="258" t="s">
        <v>2936</v>
      </c>
      <c r="F771" s="304" t="s">
        <v>2936</v>
      </c>
    </row>
    <row r="772" spans="2:6" x14ac:dyDescent="0.2">
      <c r="B772" s="305" t="s">
        <v>609</v>
      </c>
      <c r="C772" s="307" t="s">
        <v>610</v>
      </c>
      <c r="D772" s="306" t="s">
        <v>1079</v>
      </c>
      <c r="E772" s="307" t="s">
        <v>2937</v>
      </c>
      <c r="F772" s="308" t="s">
        <v>2937</v>
      </c>
    </row>
    <row r="773" spans="2:6" x14ac:dyDescent="0.2">
      <c r="B773" s="303" t="s">
        <v>447</v>
      </c>
      <c r="C773" s="258" t="s">
        <v>475</v>
      </c>
      <c r="D773" s="259" t="s">
        <v>2938</v>
      </c>
      <c r="E773" s="258" t="s">
        <v>2939</v>
      </c>
      <c r="F773" s="304" t="s">
        <v>2940</v>
      </c>
    </row>
    <row r="774" spans="2:6" x14ac:dyDescent="0.2">
      <c r="B774" s="305" t="s">
        <v>447</v>
      </c>
      <c r="C774" s="307" t="s">
        <v>500</v>
      </c>
      <c r="D774" s="306" t="s">
        <v>2941</v>
      </c>
      <c r="E774" s="307" t="s">
        <v>2942</v>
      </c>
      <c r="F774" s="308" t="s">
        <v>2942</v>
      </c>
    </row>
    <row r="775" spans="2:6" x14ac:dyDescent="0.2">
      <c r="B775" s="303" t="s">
        <v>505</v>
      </c>
      <c r="C775" s="258" t="s">
        <v>511</v>
      </c>
      <c r="D775" s="259" t="s">
        <v>2943</v>
      </c>
      <c r="E775" s="258" t="s">
        <v>2944</v>
      </c>
      <c r="F775" s="304" t="s">
        <v>2944</v>
      </c>
    </row>
    <row r="776" spans="2:6" x14ac:dyDescent="0.2">
      <c r="B776" s="305" t="s">
        <v>505</v>
      </c>
      <c r="C776" s="307" t="s">
        <v>511</v>
      </c>
      <c r="D776" s="306" t="s">
        <v>2945</v>
      </c>
      <c r="E776" s="307" t="s">
        <v>2946</v>
      </c>
      <c r="F776" s="308" t="s">
        <v>2946</v>
      </c>
    </row>
    <row r="777" spans="2:6" x14ac:dyDescent="0.2">
      <c r="B777" s="303" t="s">
        <v>505</v>
      </c>
      <c r="C777" s="258" t="s">
        <v>511</v>
      </c>
      <c r="D777" s="259" t="s">
        <v>2947</v>
      </c>
      <c r="E777" s="258" t="s">
        <v>2948</v>
      </c>
      <c r="F777" s="304" t="s">
        <v>2948</v>
      </c>
    </row>
    <row r="778" spans="2:6" x14ac:dyDescent="0.2">
      <c r="B778" s="305" t="s">
        <v>447</v>
      </c>
      <c r="C778" s="307" t="s">
        <v>465</v>
      </c>
      <c r="D778" s="306" t="s">
        <v>2949</v>
      </c>
      <c r="E778" s="307" t="s">
        <v>2950</v>
      </c>
      <c r="F778" s="308" t="s">
        <v>2950</v>
      </c>
    </row>
    <row r="779" spans="2:6" x14ac:dyDescent="0.2">
      <c r="B779" s="303" t="s">
        <v>447</v>
      </c>
      <c r="C779" s="258" t="s">
        <v>748</v>
      </c>
      <c r="D779" s="259" t="s">
        <v>1299</v>
      </c>
      <c r="E779" s="258" t="s">
        <v>2951</v>
      </c>
      <c r="F779" s="304" t="s">
        <v>2952</v>
      </c>
    </row>
    <row r="780" spans="2:6" x14ac:dyDescent="0.2">
      <c r="B780" s="305" t="s">
        <v>447</v>
      </c>
      <c r="C780" s="307" t="s">
        <v>465</v>
      </c>
      <c r="D780" s="306" t="s">
        <v>2953</v>
      </c>
      <c r="E780" s="307" t="s">
        <v>2954</v>
      </c>
      <c r="F780" s="308" t="s">
        <v>2954</v>
      </c>
    </row>
    <row r="781" spans="2:6" x14ac:dyDescent="0.2">
      <c r="B781" s="303" t="s">
        <v>432</v>
      </c>
      <c r="C781" s="258" t="s">
        <v>433</v>
      </c>
      <c r="D781" s="259" t="s">
        <v>2955</v>
      </c>
      <c r="E781" s="258" t="s">
        <v>2956</v>
      </c>
      <c r="F781" s="304" t="s">
        <v>2956</v>
      </c>
    </row>
    <row r="782" spans="2:6" x14ac:dyDescent="0.2">
      <c r="B782" s="305" t="s">
        <v>447</v>
      </c>
      <c r="C782" s="307" t="s">
        <v>748</v>
      </c>
      <c r="D782" s="306" t="s">
        <v>2957</v>
      </c>
      <c r="E782" s="307" t="s">
        <v>2958</v>
      </c>
      <c r="F782" s="308" t="s">
        <v>2958</v>
      </c>
    </row>
    <row r="783" spans="2:6" x14ac:dyDescent="0.2">
      <c r="B783" s="303" t="s">
        <v>432</v>
      </c>
      <c r="C783" s="258" t="s">
        <v>437</v>
      </c>
      <c r="D783" s="259" t="s">
        <v>2959</v>
      </c>
      <c r="E783" s="258" t="s">
        <v>2960</v>
      </c>
      <c r="F783" s="304" t="s">
        <v>2960</v>
      </c>
    </row>
    <row r="784" spans="2:6" x14ac:dyDescent="0.2">
      <c r="B784" s="305" t="s">
        <v>609</v>
      </c>
      <c r="C784" s="307" t="s">
        <v>610</v>
      </c>
      <c r="D784" s="306" t="s">
        <v>1082</v>
      </c>
      <c r="E784" s="307" t="s">
        <v>2961</v>
      </c>
      <c r="F784" s="308" t="s">
        <v>2961</v>
      </c>
    </row>
    <row r="785" spans="2:6" x14ac:dyDescent="0.2">
      <c r="B785" s="303" t="s">
        <v>447</v>
      </c>
      <c r="C785" s="258" t="s">
        <v>475</v>
      </c>
      <c r="D785" s="259" t="s">
        <v>2962</v>
      </c>
      <c r="E785" s="258" t="s">
        <v>2963</v>
      </c>
      <c r="F785" s="304" t="s">
        <v>2963</v>
      </c>
    </row>
    <row r="786" spans="2:6" x14ac:dyDescent="0.2">
      <c r="B786" s="305" t="s">
        <v>447</v>
      </c>
      <c r="C786" s="307" t="s">
        <v>472</v>
      </c>
      <c r="D786" s="306" t="s">
        <v>2964</v>
      </c>
      <c r="E786" s="307" t="s">
        <v>2965</v>
      </c>
      <c r="F786" s="308" t="s">
        <v>2965</v>
      </c>
    </row>
    <row r="787" spans="2:6" x14ac:dyDescent="0.2">
      <c r="B787" s="303" t="s">
        <v>447</v>
      </c>
      <c r="C787" s="258" t="s">
        <v>465</v>
      </c>
      <c r="D787" s="259" t="s">
        <v>2966</v>
      </c>
      <c r="E787" s="258" t="s">
        <v>2967</v>
      </c>
      <c r="F787" s="304" t="s">
        <v>2967</v>
      </c>
    </row>
    <row r="788" spans="2:6" x14ac:dyDescent="0.2">
      <c r="B788" s="305" t="s">
        <v>505</v>
      </c>
      <c r="C788" s="307" t="s">
        <v>511</v>
      </c>
      <c r="D788" s="306" t="s">
        <v>2968</v>
      </c>
      <c r="E788" s="307" t="s">
        <v>2969</v>
      </c>
      <c r="F788" s="308" t="s">
        <v>2969</v>
      </c>
    </row>
    <row r="789" spans="2:6" x14ac:dyDescent="0.2">
      <c r="B789" s="303" t="s">
        <v>447</v>
      </c>
      <c r="C789" s="258" t="s">
        <v>475</v>
      </c>
      <c r="D789" s="259" t="s">
        <v>2970</v>
      </c>
      <c r="E789" s="258" t="s">
        <v>2971</v>
      </c>
      <c r="F789" s="304" t="s">
        <v>2971</v>
      </c>
    </row>
    <row r="790" spans="2:6" x14ac:dyDescent="0.2">
      <c r="B790" s="305" t="s">
        <v>505</v>
      </c>
      <c r="C790" s="307" t="s">
        <v>511</v>
      </c>
      <c r="D790" s="306" t="s">
        <v>2972</v>
      </c>
      <c r="E790" s="307" t="s">
        <v>2973</v>
      </c>
      <c r="F790" s="308" t="s">
        <v>2973</v>
      </c>
    </row>
    <row r="791" spans="2:6" x14ac:dyDescent="0.2">
      <c r="B791" s="303" t="s">
        <v>447</v>
      </c>
      <c r="C791" s="258" t="s">
        <v>462</v>
      </c>
      <c r="D791" s="259" t="s">
        <v>2974</v>
      </c>
      <c r="E791" s="258" t="s">
        <v>2975</v>
      </c>
      <c r="F791" s="304" t="s">
        <v>2976</v>
      </c>
    </row>
    <row r="792" spans="2:6" x14ac:dyDescent="0.2">
      <c r="B792" s="305" t="s">
        <v>447</v>
      </c>
      <c r="C792" s="307" t="s">
        <v>748</v>
      </c>
      <c r="D792" s="306" t="s">
        <v>1303</v>
      </c>
      <c r="E792" s="307" t="s">
        <v>2977</v>
      </c>
      <c r="F792" s="308" t="s">
        <v>2978</v>
      </c>
    </row>
    <row r="793" spans="2:6" x14ac:dyDescent="0.2">
      <c r="B793" s="303" t="s">
        <v>447</v>
      </c>
      <c r="C793" s="258" t="s">
        <v>1526</v>
      </c>
      <c r="D793" s="259" t="s">
        <v>2979</v>
      </c>
      <c r="E793" s="258" t="s">
        <v>2980</v>
      </c>
      <c r="F793" s="304" t="s">
        <v>2980</v>
      </c>
    </row>
    <row r="794" spans="2:6" x14ac:dyDescent="0.2">
      <c r="B794" s="305" t="s">
        <v>422</v>
      </c>
      <c r="C794" s="307" t="s">
        <v>423</v>
      </c>
      <c r="D794" s="306" t="s">
        <v>2981</v>
      </c>
      <c r="E794" s="307" t="s">
        <v>2982</v>
      </c>
      <c r="F794" s="308" t="s">
        <v>2982</v>
      </c>
    </row>
    <row r="795" spans="2:6" x14ac:dyDescent="0.2">
      <c r="B795" s="303" t="s">
        <v>537</v>
      </c>
      <c r="C795" s="258" t="s">
        <v>543</v>
      </c>
      <c r="D795" s="259" t="s">
        <v>2983</v>
      </c>
      <c r="E795" s="258" t="s">
        <v>2984</v>
      </c>
      <c r="F795" s="304" t="s">
        <v>2984</v>
      </c>
    </row>
    <row r="796" spans="2:6" x14ac:dyDescent="0.2">
      <c r="B796" s="305" t="s">
        <v>393</v>
      </c>
      <c r="C796" s="307" t="s">
        <v>409</v>
      </c>
      <c r="D796" s="306" t="s">
        <v>2985</v>
      </c>
      <c r="E796" s="307" t="s">
        <v>2986</v>
      </c>
      <c r="F796" s="308" t="s">
        <v>2986</v>
      </c>
    </row>
    <row r="797" spans="2:6" x14ac:dyDescent="0.2">
      <c r="B797" s="303" t="s">
        <v>537</v>
      </c>
      <c r="C797" s="258" t="s">
        <v>543</v>
      </c>
      <c r="D797" s="259" t="s">
        <v>2987</v>
      </c>
      <c r="E797" s="258" t="s">
        <v>2988</v>
      </c>
      <c r="F797" s="304" t="s">
        <v>2988</v>
      </c>
    </row>
    <row r="798" spans="2:6" x14ac:dyDescent="0.2">
      <c r="B798" s="305" t="s">
        <v>447</v>
      </c>
      <c r="C798" s="307" t="s">
        <v>1526</v>
      </c>
      <c r="D798" s="306" t="s">
        <v>2989</v>
      </c>
      <c r="E798" s="307" t="s">
        <v>2990</v>
      </c>
      <c r="F798" s="308" t="s">
        <v>2990</v>
      </c>
    </row>
    <row r="799" spans="2:6" x14ac:dyDescent="0.2">
      <c r="B799" s="303" t="s">
        <v>447</v>
      </c>
      <c r="C799" s="258" t="s">
        <v>748</v>
      </c>
      <c r="D799" s="259" t="s">
        <v>1305</v>
      </c>
      <c r="E799" s="258" t="s">
        <v>2991</v>
      </c>
      <c r="F799" s="304" t="s">
        <v>2992</v>
      </c>
    </row>
    <row r="800" spans="2:6" x14ac:dyDescent="0.2">
      <c r="B800" s="305" t="s">
        <v>505</v>
      </c>
      <c r="C800" s="307" t="s">
        <v>511</v>
      </c>
      <c r="D800" s="306" t="s">
        <v>2993</v>
      </c>
      <c r="E800" s="307" t="s">
        <v>2994</v>
      </c>
      <c r="F800" s="308" t="s">
        <v>2994</v>
      </c>
    </row>
    <row r="801" spans="2:6" x14ac:dyDescent="0.2">
      <c r="B801" s="303" t="s">
        <v>422</v>
      </c>
      <c r="C801" s="258" t="s">
        <v>423</v>
      </c>
      <c r="D801" s="259" t="s">
        <v>2995</v>
      </c>
      <c r="E801" s="258" t="s">
        <v>2996</v>
      </c>
      <c r="F801" s="304" t="s">
        <v>2996</v>
      </c>
    </row>
    <row r="802" spans="2:6" x14ac:dyDescent="0.2">
      <c r="B802" s="305" t="s">
        <v>393</v>
      </c>
      <c r="C802" s="307" t="s">
        <v>394</v>
      </c>
      <c r="D802" s="306" t="s">
        <v>2997</v>
      </c>
      <c r="E802" s="307" t="s">
        <v>2998</v>
      </c>
      <c r="F802" s="308" t="s">
        <v>2998</v>
      </c>
    </row>
    <row r="803" spans="2:6" x14ac:dyDescent="0.2">
      <c r="B803" s="303" t="s">
        <v>447</v>
      </c>
      <c r="C803" s="258" t="s">
        <v>500</v>
      </c>
      <c r="D803" s="259" t="s">
        <v>2999</v>
      </c>
      <c r="E803" s="258" t="s">
        <v>3000</v>
      </c>
      <c r="F803" s="304" t="s">
        <v>3000</v>
      </c>
    </row>
    <row r="804" spans="2:6" x14ac:dyDescent="0.2">
      <c r="B804" s="305" t="s">
        <v>432</v>
      </c>
      <c r="C804" s="307" t="s">
        <v>433</v>
      </c>
      <c r="D804" s="306" t="s">
        <v>3001</v>
      </c>
      <c r="E804" s="307" t="s">
        <v>3002</v>
      </c>
      <c r="F804" s="308" t="s">
        <v>3002</v>
      </c>
    </row>
    <row r="805" spans="2:6" x14ac:dyDescent="0.2">
      <c r="B805" s="303" t="s">
        <v>537</v>
      </c>
      <c r="C805" s="258" t="s">
        <v>543</v>
      </c>
      <c r="D805" s="259" t="s">
        <v>3003</v>
      </c>
      <c r="E805" s="258" t="s">
        <v>3004</v>
      </c>
      <c r="F805" s="304" t="s">
        <v>3004</v>
      </c>
    </row>
    <row r="806" spans="2:6" x14ac:dyDescent="0.2">
      <c r="B806" s="305" t="s">
        <v>447</v>
      </c>
      <c r="C806" s="307" t="s">
        <v>1556</v>
      </c>
      <c r="D806" s="306" t="s">
        <v>3005</v>
      </c>
      <c r="E806" s="307" t="s">
        <v>3006</v>
      </c>
      <c r="F806" s="308" t="s">
        <v>3006</v>
      </c>
    </row>
    <row r="807" spans="2:6" x14ac:dyDescent="0.2">
      <c r="B807" s="303" t="s">
        <v>447</v>
      </c>
      <c r="C807" s="258" t="s">
        <v>478</v>
      </c>
      <c r="D807" s="259" t="s">
        <v>3007</v>
      </c>
      <c r="E807" s="258" t="s">
        <v>3008</v>
      </c>
      <c r="F807" s="304" t="s">
        <v>3008</v>
      </c>
    </row>
    <row r="808" spans="2:6" x14ac:dyDescent="0.2">
      <c r="B808" s="305" t="s">
        <v>432</v>
      </c>
      <c r="C808" s="307" t="s">
        <v>433</v>
      </c>
      <c r="D808" s="306" t="s">
        <v>3009</v>
      </c>
      <c r="E808" s="307" t="s">
        <v>3010</v>
      </c>
      <c r="F808" s="308" t="s">
        <v>3010</v>
      </c>
    </row>
    <row r="809" spans="2:6" x14ac:dyDescent="0.2">
      <c r="B809" s="303" t="s">
        <v>447</v>
      </c>
      <c r="C809" s="258" t="s">
        <v>478</v>
      </c>
      <c r="D809" s="259" t="s">
        <v>1307</v>
      </c>
      <c r="E809" s="258" t="s">
        <v>3011</v>
      </c>
      <c r="F809" s="304" t="s">
        <v>3011</v>
      </c>
    </row>
    <row r="810" spans="2:6" x14ac:dyDescent="0.2">
      <c r="B810" s="305" t="s">
        <v>447</v>
      </c>
      <c r="C810" s="307" t="s">
        <v>1556</v>
      </c>
      <c r="D810" s="306" t="s">
        <v>3012</v>
      </c>
      <c r="E810" s="307" t="s">
        <v>3013</v>
      </c>
      <c r="F810" s="308" t="s">
        <v>3013</v>
      </c>
    </row>
    <row r="811" spans="2:6" x14ac:dyDescent="0.2">
      <c r="B811" s="303" t="s">
        <v>609</v>
      </c>
      <c r="C811" s="258" t="s">
        <v>619</v>
      </c>
      <c r="D811" s="259" t="s">
        <v>3014</v>
      </c>
      <c r="E811" s="258" t="s">
        <v>3015</v>
      </c>
      <c r="F811" s="304" t="s">
        <v>3016</v>
      </c>
    </row>
    <row r="812" spans="2:6" x14ac:dyDescent="0.2">
      <c r="B812" s="305" t="s">
        <v>447</v>
      </c>
      <c r="C812" s="307" t="s">
        <v>478</v>
      </c>
      <c r="D812" s="306" t="s">
        <v>3017</v>
      </c>
      <c r="E812" s="307" t="s">
        <v>3018</v>
      </c>
      <c r="F812" s="308" t="s">
        <v>3018</v>
      </c>
    </row>
    <row r="813" spans="2:6" x14ac:dyDescent="0.2">
      <c r="B813" s="303" t="s">
        <v>447</v>
      </c>
      <c r="C813" s="258" t="s">
        <v>462</v>
      </c>
      <c r="D813" s="259" t="s">
        <v>3019</v>
      </c>
      <c r="E813" s="258" t="s">
        <v>3020</v>
      </c>
      <c r="F813" s="304" t="s">
        <v>3021</v>
      </c>
    </row>
    <row r="814" spans="2:6" x14ac:dyDescent="0.2">
      <c r="B814" s="305" t="s">
        <v>447</v>
      </c>
      <c r="C814" s="307" t="s">
        <v>1526</v>
      </c>
      <c r="D814" s="306" t="s">
        <v>3022</v>
      </c>
      <c r="E814" s="307" t="s">
        <v>3023</v>
      </c>
      <c r="F814" s="308" t="s">
        <v>3023</v>
      </c>
    </row>
    <row r="815" spans="2:6" x14ac:dyDescent="0.2">
      <c r="B815" s="303" t="s">
        <v>447</v>
      </c>
      <c r="C815" s="258" t="s">
        <v>462</v>
      </c>
      <c r="D815" s="259" t="s">
        <v>3024</v>
      </c>
      <c r="E815" s="258" t="s">
        <v>3025</v>
      </c>
      <c r="F815" s="304" t="s">
        <v>3025</v>
      </c>
    </row>
    <row r="816" spans="2:6" x14ac:dyDescent="0.2">
      <c r="B816" s="305" t="s">
        <v>447</v>
      </c>
      <c r="C816" s="307" t="s">
        <v>748</v>
      </c>
      <c r="D816" s="306" t="s">
        <v>1309</v>
      </c>
      <c r="E816" s="307" t="s">
        <v>3026</v>
      </c>
      <c r="F816" s="308" t="s">
        <v>3026</v>
      </c>
    </row>
    <row r="817" spans="2:6" x14ac:dyDescent="0.2">
      <c r="B817" s="303" t="s">
        <v>505</v>
      </c>
      <c r="C817" s="258" t="s">
        <v>511</v>
      </c>
      <c r="D817" s="259" t="s">
        <v>3027</v>
      </c>
      <c r="E817" s="258" t="s">
        <v>3028</v>
      </c>
      <c r="F817" s="304" t="s">
        <v>3028</v>
      </c>
    </row>
    <row r="818" spans="2:6" x14ac:dyDescent="0.2">
      <c r="B818" s="305" t="s">
        <v>447</v>
      </c>
      <c r="C818" s="307" t="s">
        <v>478</v>
      </c>
      <c r="D818" s="306" t="s">
        <v>3029</v>
      </c>
      <c r="E818" s="307" t="s">
        <v>3030</v>
      </c>
      <c r="F818" s="308" t="s">
        <v>3030</v>
      </c>
    </row>
    <row r="819" spans="2:6" x14ac:dyDescent="0.2">
      <c r="B819" s="303" t="s">
        <v>432</v>
      </c>
      <c r="C819" s="258" t="s">
        <v>437</v>
      </c>
      <c r="D819" s="259" t="s">
        <v>3031</v>
      </c>
      <c r="E819" s="258" t="s">
        <v>3032</v>
      </c>
      <c r="F819" s="304" t="s">
        <v>3032</v>
      </c>
    </row>
    <row r="820" spans="2:6" x14ac:dyDescent="0.2">
      <c r="B820" s="305" t="s">
        <v>505</v>
      </c>
      <c r="C820" s="307" t="s">
        <v>511</v>
      </c>
      <c r="D820" s="306" t="s">
        <v>3033</v>
      </c>
      <c r="E820" s="307" t="s">
        <v>3034</v>
      </c>
      <c r="F820" s="308" t="s">
        <v>3034</v>
      </c>
    </row>
    <row r="821" spans="2:6" x14ac:dyDescent="0.2">
      <c r="B821" s="303" t="s">
        <v>447</v>
      </c>
      <c r="C821" s="258" t="s">
        <v>462</v>
      </c>
      <c r="D821" s="259" t="s">
        <v>3035</v>
      </c>
      <c r="E821" s="258" t="s">
        <v>3036</v>
      </c>
      <c r="F821" s="304" t="s">
        <v>3036</v>
      </c>
    </row>
    <row r="822" spans="2:6" x14ac:dyDescent="0.2">
      <c r="B822" s="305" t="s">
        <v>447</v>
      </c>
      <c r="C822" s="307" t="s">
        <v>1526</v>
      </c>
      <c r="D822" s="306" t="s">
        <v>3037</v>
      </c>
      <c r="E822" s="307" t="s">
        <v>3038</v>
      </c>
      <c r="F822" s="308" t="s">
        <v>3038</v>
      </c>
    </row>
    <row r="823" spans="2:6" x14ac:dyDescent="0.2">
      <c r="B823" s="303" t="s">
        <v>432</v>
      </c>
      <c r="C823" s="258" t="s">
        <v>437</v>
      </c>
      <c r="D823" s="259" t="s">
        <v>3039</v>
      </c>
      <c r="E823" s="258" t="s">
        <v>3040</v>
      </c>
      <c r="F823" s="304" t="s">
        <v>3040</v>
      </c>
    </row>
    <row r="824" spans="2:6" x14ac:dyDescent="0.2">
      <c r="B824" s="305" t="s">
        <v>432</v>
      </c>
      <c r="C824" s="307" t="s">
        <v>437</v>
      </c>
      <c r="D824" s="306" t="s">
        <v>3041</v>
      </c>
      <c r="E824" s="307" t="s">
        <v>3042</v>
      </c>
      <c r="F824" s="308" t="s">
        <v>3042</v>
      </c>
    </row>
    <row r="825" spans="2:6" x14ac:dyDescent="0.2">
      <c r="B825" s="303" t="s">
        <v>432</v>
      </c>
      <c r="C825" s="258" t="s">
        <v>437</v>
      </c>
      <c r="D825" s="259" t="s">
        <v>3043</v>
      </c>
      <c r="E825" s="258" t="s">
        <v>3044</v>
      </c>
      <c r="F825" s="304" t="s">
        <v>3044</v>
      </c>
    </row>
    <row r="826" spans="2:6" x14ac:dyDescent="0.2">
      <c r="B826" s="305" t="s">
        <v>447</v>
      </c>
      <c r="C826" s="307" t="s">
        <v>748</v>
      </c>
      <c r="D826" s="306" t="s">
        <v>1310</v>
      </c>
      <c r="E826" s="307" t="s">
        <v>3045</v>
      </c>
      <c r="F826" s="308" t="s">
        <v>3045</v>
      </c>
    </row>
    <row r="827" spans="2:6" x14ac:dyDescent="0.2">
      <c r="B827" s="303" t="s">
        <v>447</v>
      </c>
      <c r="C827" s="258" t="s">
        <v>748</v>
      </c>
      <c r="D827" s="259" t="s">
        <v>1311</v>
      </c>
      <c r="E827" s="258" t="s">
        <v>3046</v>
      </c>
      <c r="F827" s="304" t="s">
        <v>3047</v>
      </c>
    </row>
    <row r="828" spans="2:6" x14ac:dyDescent="0.2">
      <c r="B828" s="305" t="s">
        <v>432</v>
      </c>
      <c r="C828" s="307" t="s">
        <v>433</v>
      </c>
      <c r="D828" s="306" t="s">
        <v>3048</v>
      </c>
      <c r="E828" s="307" t="s">
        <v>3049</v>
      </c>
      <c r="F828" s="308" t="s">
        <v>3049</v>
      </c>
    </row>
    <row r="829" spans="2:6" x14ac:dyDescent="0.2">
      <c r="B829" s="303" t="s">
        <v>447</v>
      </c>
      <c r="C829" s="258" t="s">
        <v>448</v>
      </c>
      <c r="D829" s="259" t="s">
        <v>3050</v>
      </c>
      <c r="E829" s="258" t="s">
        <v>3051</v>
      </c>
      <c r="F829" s="304" t="s">
        <v>3051</v>
      </c>
    </row>
    <row r="830" spans="2:6" x14ac:dyDescent="0.2">
      <c r="B830" s="305" t="s">
        <v>447</v>
      </c>
      <c r="C830" s="307" t="s">
        <v>475</v>
      </c>
      <c r="D830" s="306" t="s">
        <v>3052</v>
      </c>
      <c r="E830" s="307" t="s">
        <v>3053</v>
      </c>
      <c r="F830" s="308" t="s">
        <v>3054</v>
      </c>
    </row>
    <row r="831" spans="2:6" x14ac:dyDescent="0.2">
      <c r="B831" s="303" t="s">
        <v>447</v>
      </c>
      <c r="C831" s="258" t="s">
        <v>465</v>
      </c>
      <c r="D831" s="259" t="s">
        <v>3055</v>
      </c>
      <c r="E831" s="258" t="s">
        <v>3056</v>
      </c>
      <c r="F831" s="304" t="s">
        <v>3057</v>
      </c>
    </row>
    <row r="832" spans="2:6" x14ac:dyDescent="0.2">
      <c r="B832" s="305" t="s">
        <v>447</v>
      </c>
      <c r="C832" s="307" t="s">
        <v>472</v>
      </c>
      <c r="D832" s="306" t="s">
        <v>3058</v>
      </c>
      <c r="E832" s="307" t="s">
        <v>3059</v>
      </c>
      <c r="F832" s="308" t="s">
        <v>3059</v>
      </c>
    </row>
    <row r="833" spans="2:6" x14ac:dyDescent="0.2">
      <c r="B833" s="303" t="s">
        <v>447</v>
      </c>
      <c r="C833" s="258" t="s">
        <v>1610</v>
      </c>
      <c r="D833" s="259" t="s">
        <v>3060</v>
      </c>
      <c r="E833" s="258" t="s">
        <v>3061</v>
      </c>
      <c r="F833" s="304" t="s">
        <v>3061</v>
      </c>
    </row>
    <row r="834" spans="2:6" x14ac:dyDescent="0.2">
      <c r="B834" s="305" t="s">
        <v>447</v>
      </c>
      <c r="C834" s="307" t="s">
        <v>465</v>
      </c>
      <c r="D834" s="306" t="s">
        <v>3062</v>
      </c>
      <c r="E834" s="307" t="s">
        <v>3063</v>
      </c>
      <c r="F834" s="308" t="s">
        <v>3063</v>
      </c>
    </row>
    <row r="835" spans="2:6" x14ac:dyDescent="0.2">
      <c r="B835" s="303" t="s">
        <v>447</v>
      </c>
      <c r="C835" s="258" t="s">
        <v>1526</v>
      </c>
      <c r="D835" s="259" t="s">
        <v>3064</v>
      </c>
      <c r="E835" s="258" t="s">
        <v>3065</v>
      </c>
      <c r="F835" s="304" t="s">
        <v>3065</v>
      </c>
    </row>
    <row r="836" spans="2:6" x14ac:dyDescent="0.2">
      <c r="B836" s="305" t="s">
        <v>447</v>
      </c>
      <c r="C836" s="307" t="s">
        <v>478</v>
      </c>
      <c r="D836" s="306" t="s">
        <v>3066</v>
      </c>
      <c r="E836" s="307" t="s">
        <v>3067</v>
      </c>
      <c r="F836" s="308" t="s">
        <v>3067</v>
      </c>
    </row>
    <row r="837" spans="2:6" x14ac:dyDescent="0.2">
      <c r="B837" s="303" t="s">
        <v>447</v>
      </c>
      <c r="C837" s="258" t="s">
        <v>448</v>
      </c>
      <c r="D837" s="259" t="s">
        <v>3068</v>
      </c>
      <c r="E837" s="258" t="s">
        <v>3069</v>
      </c>
      <c r="F837" s="304" t="s">
        <v>3069</v>
      </c>
    </row>
    <row r="838" spans="2:6" x14ac:dyDescent="0.2">
      <c r="B838" s="305" t="s">
        <v>537</v>
      </c>
      <c r="C838" s="307" t="s">
        <v>540</v>
      </c>
      <c r="D838" s="306" t="s">
        <v>3070</v>
      </c>
      <c r="E838" s="307" t="s">
        <v>3071</v>
      </c>
      <c r="F838" s="308" t="s">
        <v>3072</v>
      </c>
    </row>
    <row r="839" spans="2:6" x14ac:dyDescent="0.2">
      <c r="B839" s="303" t="s">
        <v>432</v>
      </c>
      <c r="C839" s="258" t="s">
        <v>437</v>
      </c>
      <c r="D839" s="259" t="s">
        <v>3073</v>
      </c>
      <c r="E839" s="258" t="s">
        <v>3074</v>
      </c>
      <c r="F839" s="304" t="s">
        <v>3074</v>
      </c>
    </row>
    <row r="840" spans="2:6" x14ac:dyDescent="0.2">
      <c r="B840" s="305" t="s">
        <v>447</v>
      </c>
      <c r="C840" s="307" t="s">
        <v>459</v>
      </c>
      <c r="D840" s="306" t="s">
        <v>3075</v>
      </c>
      <c r="E840" s="307" t="s">
        <v>3076</v>
      </c>
      <c r="F840" s="308" t="s">
        <v>3076</v>
      </c>
    </row>
    <row r="841" spans="2:6" x14ac:dyDescent="0.2">
      <c r="B841" s="303" t="s">
        <v>537</v>
      </c>
      <c r="C841" s="258" t="s">
        <v>543</v>
      </c>
      <c r="D841" s="259" t="s">
        <v>3077</v>
      </c>
      <c r="E841" s="258" t="s">
        <v>3078</v>
      </c>
      <c r="F841" s="304" t="s">
        <v>3078</v>
      </c>
    </row>
    <row r="842" spans="2:6" x14ac:dyDescent="0.2">
      <c r="B842" s="305" t="s">
        <v>537</v>
      </c>
      <c r="C842" s="307" t="s">
        <v>543</v>
      </c>
      <c r="D842" s="306" t="s">
        <v>3079</v>
      </c>
      <c r="E842" s="307" t="s">
        <v>3080</v>
      </c>
      <c r="F842" s="308" t="s">
        <v>3080</v>
      </c>
    </row>
    <row r="843" spans="2:6" x14ac:dyDescent="0.2">
      <c r="B843" s="303" t="s">
        <v>447</v>
      </c>
      <c r="C843" s="258" t="s">
        <v>487</v>
      </c>
      <c r="D843" s="259" t="s">
        <v>3081</v>
      </c>
      <c r="E843" s="258" t="s">
        <v>3082</v>
      </c>
      <c r="F843" s="304" t="s">
        <v>3082</v>
      </c>
    </row>
    <row r="844" spans="2:6" x14ac:dyDescent="0.2">
      <c r="B844" s="305" t="s">
        <v>447</v>
      </c>
      <c r="C844" s="307" t="s">
        <v>1526</v>
      </c>
      <c r="D844" s="306" t="s">
        <v>3083</v>
      </c>
      <c r="E844" s="307" t="s">
        <v>3084</v>
      </c>
      <c r="F844" s="308" t="s">
        <v>3084</v>
      </c>
    </row>
    <row r="845" spans="2:6" x14ac:dyDescent="0.2">
      <c r="B845" s="303" t="s">
        <v>447</v>
      </c>
      <c r="C845" s="258" t="s">
        <v>1610</v>
      </c>
      <c r="D845" s="259" t="s">
        <v>3085</v>
      </c>
      <c r="E845" s="258" t="s">
        <v>3086</v>
      </c>
      <c r="F845" s="304" t="s">
        <v>3086</v>
      </c>
    </row>
    <row r="846" spans="2:6" x14ac:dyDescent="0.2">
      <c r="B846" s="305" t="s">
        <v>447</v>
      </c>
      <c r="C846" s="307" t="s">
        <v>748</v>
      </c>
      <c r="D846" s="306" t="s">
        <v>3087</v>
      </c>
      <c r="E846" s="307" t="s">
        <v>3088</v>
      </c>
      <c r="F846" s="308" t="s">
        <v>3089</v>
      </c>
    </row>
    <row r="847" spans="2:6" x14ac:dyDescent="0.2">
      <c r="B847" s="303" t="s">
        <v>447</v>
      </c>
      <c r="C847" s="258" t="s">
        <v>475</v>
      </c>
      <c r="D847" s="259" t="s">
        <v>3090</v>
      </c>
      <c r="E847" s="258" t="s">
        <v>3091</v>
      </c>
      <c r="F847" s="304" t="s">
        <v>3091</v>
      </c>
    </row>
    <row r="848" spans="2:6" x14ac:dyDescent="0.2">
      <c r="B848" s="305" t="s">
        <v>447</v>
      </c>
      <c r="C848" s="307" t="s">
        <v>500</v>
      </c>
      <c r="D848" s="306" t="s">
        <v>3092</v>
      </c>
      <c r="E848" s="307" t="s">
        <v>3093</v>
      </c>
      <c r="F848" s="308" t="s">
        <v>3093</v>
      </c>
    </row>
    <row r="849" spans="2:6" x14ac:dyDescent="0.2">
      <c r="B849" s="303" t="s">
        <v>447</v>
      </c>
      <c r="C849" s="258" t="s">
        <v>475</v>
      </c>
      <c r="D849" s="259" t="s">
        <v>3094</v>
      </c>
      <c r="E849" s="258" t="s">
        <v>3095</v>
      </c>
      <c r="F849" s="304" t="s">
        <v>3095</v>
      </c>
    </row>
    <row r="850" spans="2:6" x14ac:dyDescent="0.2">
      <c r="B850" s="305" t="s">
        <v>505</v>
      </c>
      <c r="C850" s="307" t="s">
        <v>511</v>
      </c>
      <c r="D850" s="306" t="s">
        <v>3096</v>
      </c>
      <c r="E850" s="307" t="s">
        <v>3097</v>
      </c>
      <c r="F850" s="308" t="s">
        <v>3097</v>
      </c>
    </row>
    <row r="851" spans="2:6" x14ac:dyDescent="0.2">
      <c r="B851" s="303" t="s">
        <v>447</v>
      </c>
      <c r="C851" s="258" t="s">
        <v>465</v>
      </c>
      <c r="D851" s="259" t="s">
        <v>3098</v>
      </c>
      <c r="E851" s="258" t="s">
        <v>3099</v>
      </c>
      <c r="F851" s="304" t="s">
        <v>3099</v>
      </c>
    </row>
    <row r="852" spans="2:6" x14ac:dyDescent="0.2">
      <c r="B852" s="305" t="s">
        <v>606</v>
      </c>
      <c r="C852" s="307" t="s">
        <v>607</v>
      </c>
      <c r="D852" s="306" t="s">
        <v>3100</v>
      </c>
      <c r="E852" s="307" t="s">
        <v>3101</v>
      </c>
      <c r="F852" s="308" t="s">
        <v>3101</v>
      </c>
    </row>
    <row r="853" spans="2:6" x14ac:dyDescent="0.2">
      <c r="B853" s="303" t="s">
        <v>447</v>
      </c>
      <c r="C853" s="258" t="s">
        <v>462</v>
      </c>
      <c r="D853" s="259" t="s">
        <v>3102</v>
      </c>
      <c r="E853" s="258" t="s">
        <v>3103</v>
      </c>
      <c r="F853" s="304" t="s">
        <v>3103</v>
      </c>
    </row>
    <row r="854" spans="2:6" x14ac:dyDescent="0.2">
      <c r="B854" s="305" t="s">
        <v>447</v>
      </c>
      <c r="C854" s="307" t="s">
        <v>465</v>
      </c>
      <c r="D854" s="306" t="s">
        <v>3104</v>
      </c>
      <c r="E854" s="307" t="s">
        <v>3105</v>
      </c>
      <c r="F854" s="308" t="s">
        <v>3105</v>
      </c>
    </row>
    <row r="855" spans="2:6" x14ac:dyDescent="0.2">
      <c r="B855" s="303" t="s">
        <v>432</v>
      </c>
      <c r="C855" s="258" t="s">
        <v>433</v>
      </c>
      <c r="D855" s="259" t="s">
        <v>3106</v>
      </c>
      <c r="E855" s="258" t="s">
        <v>3107</v>
      </c>
      <c r="F855" s="304" t="s">
        <v>3107</v>
      </c>
    </row>
    <row r="856" spans="2:6" x14ac:dyDescent="0.2">
      <c r="B856" s="305" t="s">
        <v>432</v>
      </c>
      <c r="C856" s="307" t="s">
        <v>437</v>
      </c>
      <c r="D856" s="306" t="s">
        <v>3108</v>
      </c>
      <c r="E856" s="307" t="s">
        <v>3109</v>
      </c>
      <c r="F856" s="308" t="s">
        <v>3109</v>
      </c>
    </row>
    <row r="857" spans="2:6" x14ac:dyDescent="0.2">
      <c r="B857" s="303" t="s">
        <v>432</v>
      </c>
      <c r="C857" s="258" t="s">
        <v>437</v>
      </c>
      <c r="D857" s="259" t="s">
        <v>3110</v>
      </c>
      <c r="E857" s="258" t="s">
        <v>3111</v>
      </c>
      <c r="F857" s="304" t="s">
        <v>3111</v>
      </c>
    </row>
    <row r="858" spans="2:6" x14ac:dyDescent="0.2">
      <c r="B858" s="305" t="s">
        <v>447</v>
      </c>
      <c r="C858" s="307" t="s">
        <v>478</v>
      </c>
      <c r="D858" s="306" t="s">
        <v>3112</v>
      </c>
      <c r="E858" s="307" t="s">
        <v>3113</v>
      </c>
      <c r="F858" s="308" t="s">
        <v>3113</v>
      </c>
    </row>
    <row r="859" spans="2:6" x14ac:dyDescent="0.2">
      <c r="B859" s="303" t="s">
        <v>447</v>
      </c>
      <c r="C859" s="258" t="s">
        <v>1610</v>
      </c>
      <c r="D859" s="259" t="s">
        <v>3114</v>
      </c>
      <c r="E859" s="258" t="s">
        <v>3115</v>
      </c>
      <c r="F859" s="304" t="s">
        <v>3115</v>
      </c>
    </row>
    <row r="860" spans="2:6" x14ac:dyDescent="0.2">
      <c r="B860" s="305" t="s">
        <v>447</v>
      </c>
      <c r="C860" s="307" t="s">
        <v>459</v>
      </c>
      <c r="D860" s="306" t="s">
        <v>3116</v>
      </c>
      <c r="E860" s="307" t="s">
        <v>3117</v>
      </c>
      <c r="F860" s="308" t="s">
        <v>3117</v>
      </c>
    </row>
    <row r="861" spans="2:6" x14ac:dyDescent="0.2">
      <c r="B861" s="303" t="s">
        <v>537</v>
      </c>
      <c r="C861" s="258" t="s">
        <v>543</v>
      </c>
      <c r="D861" s="259" t="s">
        <v>3118</v>
      </c>
      <c r="E861" s="258" t="s">
        <v>3119</v>
      </c>
      <c r="F861" s="304" t="s">
        <v>3119</v>
      </c>
    </row>
    <row r="862" spans="2:6" x14ac:dyDescent="0.2">
      <c r="B862" s="305" t="s">
        <v>447</v>
      </c>
      <c r="C862" s="307" t="s">
        <v>1526</v>
      </c>
      <c r="D862" s="306" t="s">
        <v>3120</v>
      </c>
      <c r="E862" s="307" t="s">
        <v>3121</v>
      </c>
      <c r="F862" s="308" t="s">
        <v>3121</v>
      </c>
    </row>
    <row r="863" spans="2:6" x14ac:dyDescent="0.2">
      <c r="B863" s="303" t="s">
        <v>505</v>
      </c>
      <c r="C863" s="258" t="s">
        <v>511</v>
      </c>
      <c r="D863" s="259" t="s">
        <v>3122</v>
      </c>
      <c r="E863" s="258" t="s">
        <v>3123</v>
      </c>
      <c r="F863" s="304" t="s">
        <v>3123</v>
      </c>
    </row>
    <row r="864" spans="2:6" x14ac:dyDescent="0.2">
      <c r="B864" s="305" t="s">
        <v>447</v>
      </c>
      <c r="C864" s="307" t="s">
        <v>500</v>
      </c>
      <c r="D864" s="306" t="s">
        <v>3124</v>
      </c>
      <c r="E864" s="307" t="s">
        <v>3125</v>
      </c>
      <c r="F864" s="308" t="s">
        <v>3125</v>
      </c>
    </row>
    <row r="865" spans="2:6" x14ac:dyDescent="0.2">
      <c r="B865" s="303" t="s">
        <v>447</v>
      </c>
      <c r="C865" s="258" t="s">
        <v>462</v>
      </c>
      <c r="D865" s="259" t="s">
        <v>3126</v>
      </c>
      <c r="E865" s="258" t="s">
        <v>3127</v>
      </c>
      <c r="F865" s="304" t="s">
        <v>3127</v>
      </c>
    </row>
    <row r="866" spans="2:6" x14ac:dyDescent="0.2">
      <c r="B866" s="305" t="s">
        <v>447</v>
      </c>
      <c r="C866" s="307" t="s">
        <v>462</v>
      </c>
      <c r="D866" s="306" t="s">
        <v>3128</v>
      </c>
      <c r="E866" s="307" t="s">
        <v>3129</v>
      </c>
      <c r="F866" s="308" t="s">
        <v>3130</v>
      </c>
    </row>
    <row r="867" spans="2:6" x14ac:dyDescent="0.2">
      <c r="B867" s="303" t="s">
        <v>447</v>
      </c>
      <c r="C867" s="258" t="s">
        <v>748</v>
      </c>
      <c r="D867" s="259" t="s">
        <v>1315</v>
      </c>
      <c r="E867" s="258" t="s">
        <v>3131</v>
      </c>
      <c r="F867" s="304" t="s">
        <v>3132</v>
      </c>
    </row>
    <row r="868" spans="2:6" x14ac:dyDescent="0.2">
      <c r="B868" s="305" t="s">
        <v>447</v>
      </c>
      <c r="C868" s="307" t="s">
        <v>465</v>
      </c>
      <c r="D868" s="306" t="s">
        <v>3133</v>
      </c>
      <c r="E868" s="307" t="s">
        <v>3134</v>
      </c>
      <c r="F868" s="308" t="s">
        <v>3134</v>
      </c>
    </row>
    <row r="869" spans="2:6" x14ac:dyDescent="0.2">
      <c r="B869" s="303" t="s">
        <v>447</v>
      </c>
      <c r="C869" s="258" t="s">
        <v>462</v>
      </c>
      <c r="D869" s="259" t="s">
        <v>3135</v>
      </c>
      <c r="E869" s="258" t="s">
        <v>3136</v>
      </c>
      <c r="F869" s="304" t="s">
        <v>3136</v>
      </c>
    </row>
    <row r="870" spans="2:6" x14ac:dyDescent="0.2">
      <c r="B870" s="305" t="s">
        <v>447</v>
      </c>
      <c r="C870" s="307" t="s">
        <v>748</v>
      </c>
      <c r="D870" s="306" t="s">
        <v>3137</v>
      </c>
      <c r="E870" s="307" t="s">
        <v>3138</v>
      </c>
      <c r="F870" s="308" t="s">
        <v>3138</v>
      </c>
    </row>
    <row r="871" spans="2:6" x14ac:dyDescent="0.2">
      <c r="B871" s="303" t="s">
        <v>432</v>
      </c>
      <c r="C871" s="258" t="s">
        <v>433</v>
      </c>
      <c r="D871" s="259" t="s">
        <v>3139</v>
      </c>
      <c r="E871" s="258" t="s">
        <v>3140</v>
      </c>
      <c r="F871" s="304" t="s">
        <v>3140</v>
      </c>
    </row>
    <row r="872" spans="2:6" x14ac:dyDescent="0.2">
      <c r="B872" s="305" t="s">
        <v>447</v>
      </c>
      <c r="C872" s="307" t="s">
        <v>472</v>
      </c>
      <c r="D872" s="306" t="s">
        <v>3141</v>
      </c>
      <c r="E872" s="307" t="s">
        <v>3142</v>
      </c>
      <c r="F872" s="308" t="s">
        <v>3142</v>
      </c>
    </row>
    <row r="873" spans="2:6" x14ac:dyDescent="0.2">
      <c r="B873" s="303" t="s">
        <v>609</v>
      </c>
      <c r="C873" s="258" t="s">
        <v>670</v>
      </c>
      <c r="D873" s="259" t="s">
        <v>3143</v>
      </c>
      <c r="E873" s="258" t="s">
        <v>3144</v>
      </c>
      <c r="F873" s="304" t="s">
        <v>3144</v>
      </c>
    </row>
    <row r="874" spans="2:6" x14ac:dyDescent="0.2">
      <c r="B874" s="305" t="s">
        <v>447</v>
      </c>
      <c r="C874" s="307" t="s">
        <v>465</v>
      </c>
      <c r="D874" s="306" t="s">
        <v>3145</v>
      </c>
      <c r="E874" s="307" t="s">
        <v>3146</v>
      </c>
      <c r="F874" s="308" t="s">
        <v>3146</v>
      </c>
    </row>
    <row r="875" spans="2:6" x14ac:dyDescent="0.2">
      <c r="B875" s="303" t="s">
        <v>432</v>
      </c>
      <c r="C875" s="258" t="s">
        <v>437</v>
      </c>
      <c r="D875" s="259" t="s">
        <v>3147</v>
      </c>
      <c r="E875" s="258" t="s">
        <v>3148</v>
      </c>
      <c r="F875" s="304" t="s">
        <v>3148</v>
      </c>
    </row>
    <row r="876" spans="2:6" x14ac:dyDescent="0.2">
      <c r="B876" s="305" t="s">
        <v>432</v>
      </c>
      <c r="C876" s="307" t="s">
        <v>437</v>
      </c>
      <c r="D876" s="306" t="s">
        <v>3149</v>
      </c>
      <c r="E876" s="307" t="s">
        <v>3150</v>
      </c>
      <c r="F876" s="308" t="s">
        <v>3150</v>
      </c>
    </row>
    <row r="877" spans="2:6" x14ac:dyDescent="0.2">
      <c r="B877" s="303" t="s">
        <v>447</v>
      </c>
      <c r="C877" s="258" t="s">
        <v>465</v>
      </c>
      <c r="D877" s="259" t="s">
        <v>3151</v>
      </c>
      <c r="E877" s="258" t="s">
        <v>3152</v>
      </c>
      <c r="F877" s="304" t="s">
        <v>3152</v>
      </c>
    </row>
    <row r="878" spans="2:6" x14ac:dyDescent="0.2">
      <c r="B878" s="305" t="s">
        <v>447</v>
      </c>
      <c r="C878" s="307" t="s">
        <v>748</v>
      </c>
      <c r="D878" s="306" t="s">
        <v>3153</v>
      </c>
      <c r="E878" s="307" t="s">
        <v>3154</v>
      </c>
      <c r="F878" s="308" t="s">
        <v>3154</v>
      </c>
    </row>
    <row r="879" spans="2:6" x14ac:dyDescent="0.2">
      <c r="B879" s="303" t="s">
        <v>447</v>
      </c>
      <c r="C879" s="258" t="s">
        <v>459</v>
      </c>
      <c r="D879" s="259" t="s">
        <v>3155</v>
      </c>
      <c r="E879" s="258" t="s">
        <v>3156</v>
      </c>
      <c r="F879" s="304" t="s">
        <v>3156</v>
      </c>
    </row>
    <row r="880" spans="2:6" x14ac:dyDescent="0.2">
      <c r="B880" s="305" t="s">
        <v>537</v>
      </c>
      <c r="C880" s="307" t="s">
        <v>543</v>
      </c>
      <c r="D880" s="306" t="s">
        <v>3157</v>
      </c>
      <c r="E880" s="307" t="s">
        <v>3158</v>
      </c>
      <c r="F880" s="308" t="s">
        <v>3158</v>
      </c>
    </row>
    <row r="881" spans="2:6" x14ac:dyDescent="0.2">
      <c r="B881" s="303" t="s">
        <v>447</v>
      </c>
      <c r="C881" s="258" t="s">
        <v>459</v>
      </c>
      <c r="D881" s="259" t="s">
        <v>3159</v>
      </c>
      <c r="E881" s="258" t="s">
        <v>3160</v>
      </c>
      <c r="F881" s="304" t="s">
        <v>3160</v>
      </c>
    </row>
    <row r="882" spans="2:6" x14ac:dyDescent="0.2">
      <c r="B882" s="305" t="s">
        <v>447</v>
      </c>
      <c r="C882" s="307" t="s">
        <v>465</v>
      </c>
      <c r="D882" s="306" t="s">
        <v>3161</v>
      </c>
      <c r="E882" s="307" t="s">
        <v>3162</v>
      </c>
      <c r="F882" s="308" t="s">
        <v>3162</v>
      </c>
    </row>
    <row r="883" spans="2:6" x14ac:dyDescent="0.2">
      <c r="B883" s="303" t="s">
        <v>447</v>
      </c>
      <c r="C883" s="258" t="s">
        <v>487</v>
      </c>
      <c r="D883" s="259" t="s">
        <v>3163</v>
      </c>
      <c r="E883" s="258" t="s">
        <v>3164</v>
      </c>
      <c r="F883" s="304" t="s">
        <v>3164</v>
      </c>
    </row>
    <row r="884" spans="2:6" x14ac:dyDescent="0.2">
      <c r="B884" s="305" t="s">
        <v>609</v>
      </c>
      <c r="C884" s="307" t="s">
        <v>670</v>
      </c>
      <c r="D884" s="306" t="s">
        <v>3165</v>
      </c>
      <c r="E884" s="307" t="s">
        <v>3166</v>
      </c>
      <c r="F884" s="308" t="s">
        <v>3166</v>
      </c>
    </row>
    <row r="885" spans="2:6" x14ac:dyDescent="0.2">
      <c r="B885" s="303" t="s">
        <v>557</v>
      </c>
      <c r="C885" s="258" t="s">
        <v>570</v>
      </c>
      <c r="D885" s="259" t="s">
        <v>3167</v>
      </c>
      <c r="E885" s="258">
        <v>88485000</v>
      </c>
      <c r="F885" s="304">
        <v>88485000</v>
      </c>
    </row>
    <row r="886" spans="2:6" x14ac:dyDescent="0.2">
      <c r="B886" s="305" t="s">
        <v>447</v>
      </c>
      <c r="C886" s="307" t="s">
        <v>1526</v>
      </c>
      <c r="D886" s="306" t="s">
        <v>3168</v>
      </c>
      <c r="E886" s="307" t="s">
        <v>3169</v>
      </c>
      <c r="F886" s="308" t="s">
        <v>3169</v>
      </c>
    </row>
    <row r="887" spans="2:6" x14ac:dyDescent="0.2">
      <c r="B887" s="303" t="s">
        <v>447</v>
      </c>
      <c r="C887" s="258" t="s">
        <v>462</v>
      </c>
      <c r="D887" s="259" t="s">
        <v>3170</v>
      </c>
      <c r="E887" s="258" t="s">
        <v>3171</v>
      </c>
      <c r="F887" s="304" t="s">
        <v>3171</v>
      </c>
    </row>
    <row r="888" spans="2:6" x14ac:dyDescent="0.2">
      <c r="B888" s="305" t="s">
        <v>447</v>
      </c>
      <c r="C888" s="307" t="s">
        <v>475</v>
      </c>
      <c r="D888" s="306" t="s">
        <v>3172</v>
      </c>
      <c r="E888" s="307" t="s">
        <v>3173</v>
      </c>
      <c r="F888" s="308" t="s">
        <v>3173</v>
      </c>
    </row>
    <row r="889" spans="2:6" x14ac:dyDescent="0.2">
      <c r="B889" s="303" t="s">
        <v>447</v>
      </c>
      <c r="C889" s="258" t="s">
        <v>475</v>
      </c>
      <c r="D889" s="259" t="s">
        <v>3174</v>
      </c>
      <c r="E889" s="258" t="s">
        <v>3175</v>
      </c>
      <c r="F889" s="304" t="s">
        <v>3175</v>
      </c>
    </row>
    <row r="890" spans="2:6" x14ac:dyDescent="0.2">
      <c r="B890" s="305" t="s">
        <v>606</v>
      </c>
      <c r="C890" s="307" t="s">
        <v>607</v>
      </c>
      <c r="D890" s="306" t="s">
        <v>1319</v>
      </c>
      <c r="E890" s="307" t="s">
        <v>3176</v>
      </c>
      <c r="F890" s="308" t="s">
        <v>3177</v>
      </c>
    </row>
    <row r="891" spans="2:6" x14ac:dyDescent="0.2">
      <c r="B891" s="303" t="s">
        <v>432</v>
      </c>
      <c r="C891" s="258" t="s">
        <v>437</v>
      </c>
      <c r="D891" s="259" t="s">
        <v>3178</v>
      </c>
      <c r="E891" s="258" t="s">
        <v>3179</v>
      </c>
      <c r="F891" s="304" t="s">
        <v>3179</v>
      </c>
    </row>
    <row r="892" spans="2:6" x14ac:dyDescent="0.2">
      <c r="B892" s="305" t="s">
        <v>447</v>
      </c>
      <c r="C892" s="307" t="s">
        <v>462</v>
      </c>
      <c r="D892" s="306" t="s">
        <v>3180</v>
      </c>
      <c r="E892" s="307" t="s">
        <v>3181</v>
      </c>
      <c r="F892" s="308" t="s">
        <v>3181</v>
      </c>
    </row>
    <row r="893" spans="2:6" x14ac:dyDescent="0.2">
      <c r="B893" s="303" t="s">
        <v>609</v>
      </c>
      <c r="C893" s="258" t="s">
        <v>670</v>
      </c>
      <c r="D893" s="259" t="s">
        <v>3182</v>
      </c>
      <c r="E893" s="258" t="s">
        <v>3183</v>
      </c>
      <c r="F893" s="304" t="s">
        <v>3183</v>
      </c>
    </row>
    <row r="894" spans="2:6" x14ac:dyDescent="0.2">
      <c r="B894" s="305" t="s">
        <v>432</v>
      </c>
      <c r="C894" s="307" t="s">
        <v>433</v>
      </c>
      <c r="D894" s="306" t="s">
        <v>3184</v>
      </c>
      <c r="E894" s="307" t="s">
        <v>3185</v>
      </c>
      <c r="F894" s="308" t="s">
        <v>3185</v>
      </c>
    </row>
    <row r="895" spans="2:6" x14ac:dyDescent="0.2">
      <c r="B895" s="303" t="s">
        <v>432</v>
      </c>
      <c r="C895" s="258" t="s">
        <v>437</v>
      </c>
      <c r="D895" s="259" t="s">
        <v>3186</v>
      </c>
      <c r="E895" s="258" t="s">
        <v>3187</v>
      </c>
      <c r="F895" s="304" t="s">
        <v>3187</v>
      </c>
    </row>
    <row r="896" spans="2:6" x14ac:dyDescent="0.2">
      <c r="B896" s="305" t="s">
        <v>447</v>
      </c>
      <c r="C896" s="307" t="s">
        <v>470</v>
      </c>
      <c r="D896" s="306" t="s">
        <v>3188</v>
      </c>
      <c r="E896" s="307" t="s">
        <v>3189</v>
      </c>
      <c r="F896" s="308" t="s">
        <v>3189</v>
      </c>
    </row>
    <row r="897" spans="2:6" x14ac:dyDescent="0.2">
      <c r="B897" s="303" t="s">
        <v>447</v>
      </c>
      <c r="C897" s="258" t="s">
        <v>487</v>
      </c>
      <c r="D897" s="259" t="s">
        <v>3190</v>
      </c>
      <c r="E897" s="258" t="s">
        <v>3191</v>
      </c>
      <c r="F897" s="304" t="s">
        <v>3191</v>
      </c>
    </row>
    <row r="898" spans="2:6" x14ac:dyDescent="0.2">
      <c r="B898" s="305" t="s">
        <v>447</v>
      </c>
      <c r="C898" s="307" t="s">
        <v>472</v>
      </c>
      <c r="D898" s="306" t="s">
        <v>3192</v>
      </c>
      <c r="E898" s="307" t="s">
        <v>3193</v>
      </c>
      <c r="F898" s="308" t="s">
        <v>3193</v>
      </c>
    </row>
    <row r="899" spans="2:6" x14ac:dyDescent="0.2">
      <c r="B899" s="303" t="s">
        <v>447</v>
      </c>
      <c r="C899" s="258" t="s">
        <v>1526</v>
      </c>
      <c r="D899" s="259" t="s">
        <v>3194</v>
      </c>
      <c r="E899" s="258" t="s">
        <v>3195</v>
      </c>
      <c r="F899" s="304" t="s">
        <v>3195</v>
      </c>
    </row>
    <row r="900" spans="2:6" x14ac:dyDescent="0.2">
      <c r="B900" s="305" t="s">
        <v>447</v>
      </c>
      <c r="C900" s="307" t="s">
        <v>472</v>
      </c>
      <c r="D900" s="306" t="s">
        <v>3196</v>
      </c>
      <c r="E900" s="307" t="s">
        <v>3197</v>
      </c>
      <c r="F900" s="308" t="s">
        <v>3197</v>
      </c>
    </row>
    <row r="901" spans="2:6" x14ac:dyDescent="0.2">
      <c r="B901" s="303" t="s">
        <v>447</v>
      </c>
      <c r="C901" s="258" t="s">
        <v>475</v>
      </c>
      <c r="D901" s="259" t="s">
        <v>3198</v>
      </c>
      <c r="E901" s="258" t="s">
        <v>3199</v>
      </c>
      <c r="F901" s="304" t="s">
        <v>3199</v>
      </c>
    </row>
    <row r="902" spans="2:6" x14ac:dyDescent="0.2">
      <c r="B902" s="305" t="s">
        <v>447</v>
      </c>
      <c r="C902" s="307" t="s">
        <v>475</v>
      </c>
      <c r="D902" s="306" t="s">
        <v>3200</v>
      </c>
      <c r="E902" s="307" t="s">
        <v>3201</v>
      </c>
      <c r="F902" s="308" t="s">
        <v>3201</v>
      </c>
    </row>
    <row r="903" spans="2:6" x14ac:dyDescent="0.2">
      <c r="B903" s="303" t="s">
        <v>447</v>
      </c>
      <c r="C903" s="258" t="s">
        <v>478</v>
      </c>
      <c r="D903" s="259" t="s">
        <v>3202</v>
      </c>
      <c r="E903" s="258" t="s">
        <v>3203</v>
      </c>
      <c r="F903" s="304" t="s">
        <v>3203</v>
      </c>
    </row>
    <row r="904" spans="2:6" x14ac:dyDescent="0.2">
      <c r="B904" s="305" t="s">
        <v>447</v>
      </c>
      <c r="C904" s="307" t="s">
        <v>478</v>
      </c>
      <c r="D904" s="306" t="s">
        <v>1324</v>
      </c>
      <c r="E904" s="307" t="s">
        <v>3204</v>
      </c>
      <c r="F904" s="308" t="s">
        <v>3205</v>
      </c>
    </row>
    <row r="905" spans="2:6" x14ac:dyDescent="0.2">
      <c r="B905" s="303" t="s">
        <v>432</v>
      </c>
      <c r="C905" s="258" t="s">
        <v>433</v>
      </c>
      <c r="D905" s="259" t="s">
        <v>3206</v>
      </c>
      <c r="E905" s="258" t="s">
        <v>3207</v>
      </c>
      <c r="F905" s="304" t="s">
        <v>3208</v>
      </c>
    </row>
    <row r="906" spans="2:6" x14ac:dyDescent="0.2">
      <c r="B906" s="305" t="s">
        <v>447</v>
      </c>
      <c r="C906" s="307" t="s">
        <v>478</v>
      </c>
      <c r="D906" s="306" t="s">
        <v>3209</v>
      </c>
      <c r="E906" s="307" t="s">
        <v>3210</v>
      </c>
      <c r="F906" s="308" t="s">
        <v>3210</v>
      </c>
    </row>
    <row r="907" spans="2:6" x14ac:dyDescent="0.2">
      <c r="B907" s="303" t="s">
        <v>557</v>
      </c>
      <c r="C907" s="258" t="s">
        <v>560</v>
      </c>
      <c r="D907" s="259" t="s">
        <v>3211</v>
      </c>
      <c r="E907" s="258" t="s">
        <v>3212</v>
      </c>
      <c r="F907" s="304" t="s">
        <v>3212</v>
      </c>
    </row>
    <row r="908" spans="2:6" x14ac:dyDescent="0.2">
      <c r="B908" s="305" t="s">
        <v>447</v>
      </c>
      <c r="C908" s="307" t="s">
        <v>462</v>
      </c>
      <c r="D908" s="306" t="s">
        <v>3213</v>
      </c>
      <c r="E908" s="307" t="s">
        <v>3214</v>
      </c>
      <c r="F908" s="308" t="s">
        <v>3214</v>
      </c>
    </row>
    <row r="909" spans="2:6" x14ac:dyDescent="0.2">
      <c r="B909" s="303" t="s">
        <v>432</v>
      </c>
      <c r="C909" s="258" t="s">
        <v>433</v>
      </c>
      <c r="D909" s="259" t="s">
        <v>3215</v>
      </c>
      <c r="E909" s="258" t="s">
        <v>3216</v>
      </c>
      <c r="F909" s="304" t="s">
        <v>3216</v>
      </c>
    </row>
    <row r="910" spans="2:6" x14ac:dyDescent="0.2">
      <c r="B910" s="305" t="s">
        <v>432</v>
      </c>
      <c r="C910" s="307" t="s">
        <v>433</v>
      </c>
      <c r="D910" s="306" t="s">
        <v>3217</v>
      </c>
      <c r="E910" s="307" t="s">
        <v>3218</v>
      </c>
      <c r="F910" s="308" t="s">
        <v>3218</v>
      </c>
    </row>
    <row r="911" spans="2:6" x14ac:dyDescent="0.2">
      <c r="B911" s="303" t="s">
        <v>432</v>
      </c>
      <c r="C911" s="258" t="s">
        <v>437</v>
      </c>
      <c r="D911" s="259" t="s">
        <v>3219</v>
      </c>
      <c r="E911" s="258" t="s">
        <v>3220</v>
      </c>
      <c r="F911" s="304" t="s">
        <v>3220</v>
      </c>
    </row>
    <row r="912" spans="2:6" x14ac:dyDescent="0.2">
      <c r="B912" s="305" t="s">
        <v>447</v>
      </c>
      <c r="C912" s="307" t="s">
        <v>478</v>
      </c>
      <c r="D912" s="306" t="s">
        <v>3221</v>
      </c>
      <c r="E912" s="307" t="s">
        <v>3222</v>
      </c>
      <c r="F912" s="308" t="s">
        <v>3223</v>
      </c>
    </row>
    <row r="913" spans="2:6" x14ac:dyDescent="0.2">
      <c r="B913" s="303" t="s">
        <v>537</v>
      </c>
      <c r="C913" s="258" t="s">
        <v>540</v>
      </c>
      <c r="D913" s="259" t="s">
        <v>3224</v>
      </c>
      <c r="E913" s="258" t="s">
        <v>3225</v>
      </c>
      <c r="F913" s="304" t="s">
        <v>3225</v>
      </c>
    </row>
    <row r="914" spans="2:6" x14ac:dyDescent="0.2">
      <c r="B914" s="305" t="s">
        <v>432</v>
      </c>
      <c r="C914" s="307" t="s">
        <v>437</v>
      </c>
      <c r="D914" s="306" t="s">
        <v>3226</v>
      </c>
      <c r="E914" s="307" t="s">
        <v>3227</v>
      </c>
      <c r="F914" s="308" t="s">
        <v>3228</v>
      </c>
    </row>
    <row r="915" spans="2:6" x14ac:dyDescent="0.2">
      <c r="B915" s="303" t="s">
        <v>432</v>
      </c>
      <c r="C915" s="258" t="s">
        <v>433</v>
      </c>
      <c r="D915" s="259" t="s">
        <v>3229</v>
      </c>
      <c r="E915" s="258" t="s">
        <v>3230</v>
      </c>
      <c r="F915" s="304" t="s">
        <v>3230</v>
      </c>
    </row>
    <row r="916" spans="2:6" x14ac:dyDescent="0.2">
      <c r="B916" s="305" t="s">
        <v>505</v>
      </c>
      <c r="C916" s="307" t="s">
        <v>511</v>
      </c>
      <c r="D916" s="306" t="s">
        <v>3231</v>
      </c>
      <c r="E916" s="307" t="s">
        <v>3232</v>
      </c>
      <c r="F916" s="308" t="s">
        <v>3232</v>
      </c>
    </row>
    <row r="917" spans="2:6" x14ac:dyDescent="0.2">
      <c r="B917" s="303" t="s">
        <v>432</v>
      </c>
      <c r="C917" s="258" t="s">
        <v>437</v>
      </c>
      <c r="D917" s="259" t="s">
        <v>3233</v>
      </c>
      <c r="E917" s="258" t="s">
        <v>3234</v>
      </c>
      <c r="F917" s="304" t="s">
        <v>3235</v>
      </c>
    </row>
    <row r="918" spans="2:6" x14ac:dyDescent="0.2">
      <c r="B918" s="305" t="s">
        <v>447</v>
      </c>
      <c r="C918" s="307" t="s">
        <v>1526</v>
      </c>
      <c r="D918" s="306" t="s">
        <v>3236</v>
      </c>
      <c r="E918" s="307" t="s">
        <v>3237</v>
      </c>
      <c r="F918" s="308" t="s">
        <v>3237</v>
      </c>
    </row>
    <row r="919" spans="2:6" x14ac:dyDescent="0.2">
      <c r="B919" s="303" t="s">
        <v>505</v>
      </c>
      <c r="C919" s="258" t="s">
        <v>511</v>
      </c>
      <c r="D919" s="259" t="s">
        <v>3238</v>
      </c>
      <c r="E919" s="258" t="s">
        <v>3239</v>
      </c>
      <c r="F919" s="304" t="s">
        <v>3239</v>
      </c>
    </row>
    <row r="920" spans="2:6" x14ac:dyDescent="0.2">
      <c r="B920" s="305" t="s">
        <v>447</v>
      </c>
      <c r="C920" s="307" t="s">
        <v>462</v>
      </c>
      <c r="D920" s="306" t="s">
        <v>3240</v>
      </c>
      <c r="E920" s="307" t="s">
        <v>3241</v>
      </c>
      <c r="F920" s="308" t="s">
        <v>3241</v>
      </c>
    </row>
    <row r="921" spans="2:6" x14ac:dyDescent="0.2">
      <c r="B921" s="303" t="s">
        <v>432</v>
      </c>
      <c r="C921" s="258" t="s">
        <v>433</v>
      </c>
      <c r="D921" s="259" t="s">
        <v>3242</v>
      </c>
      <c r="E921" s="258" t="s">
        <v>3243</v>
      </c>
      <c r="F921" s="304" t="s">
        <v>3243</v>
      </c>
    </row>
    <row r="922" spans="2:6" x14ac:dyDescent="0.2">
      <c r="B922" s="305" t="s">
        <v>432</v>
      </c>
      <c r="C922" s="307" t="s">
        <v>433</v>
      </c>
      <c r="D922" s="306" t="s">
        <v>3244</v>
      </c>
      <c r="E922" s="307" t="s">
        <v>3245</v>
      </c>
      <c r="F922" s="308" t="s">
        <v>3245</v>
      </c>
    </row>
    <row r="923" spans="2:6" x14ac:dyDescent="0.2">
      <c r="B923" s="303" t="s">
        <v>432</v>
      </c>
      <c r="C923" s="258" t="s">
        <v>437</v>
      </c>
      <c r="D923" s="259" t="s">
        <v>3246</v>
      </c>
      <c r="E923" s="258" t="s">
        <v>3247</v>
      </c>
      <c r="F923" s="304" t="s">
        <v>3247</v>
      </c>
    </row>
    <row r="924" spans="2:6" x14ac:dyDescent="0.2">
      <c r="B924" s="305" t="s">
        <v>609</v>
      </c>
      <c r="C924" s="307" t="s">
        <v>670</v>
      </c>
      <c r="D924" s="306" t="s">
        <v>1110</v>
      </c>
      <c r="E924" s="307" t="s">
        <v>3248</v>
      </c>
      <c r="F924" s="308" t="s">
        <v>3249</v>
      </c>
    </row>
    <row r="925" spans="2:6" x14ac:dyDescent="0.2">
      <c r="B925" s="303" t="s">
        <v>447</v>
      </c>
      <c r="C925" s="258" t="s">
        <v>459</v>
      </c>
      <c r="D925" s="259" t="s">
        <v>3250</v>
      </c>
      <c r="E925" s="258" t="s">
        <v>3251</v>
      </c>
      <c r="F925" s="304" t="s">
        <v>3251</v>
      </c>
    </row>
    <row r="926" spans="2:6" x14ac:dyDescent="0.2">
      <c r="B926" s="305" t="s">
        <v>447</v>
      </c>
      <c r="C926" s="307" t="s">
        <v>462</v>
      </c>
      <c r="D926" s="306" t="s">
        <v>3252</v>
      </c>
      <c r="E926" s="307" t="s">
        <v>3253</v>
      </c>
      <c r="F926" s="308" t="s">
        <v>3253</v>
      </c>
    </row>
    <row r="927" spans="2:6" x14ac:dyDescent="0.2">
      <c r="B927" s="303" t="s">
        <v>447</v>
      </c>
      <c r="C927" s="258" t="s">
        <v>472</v>
      </c>
      <c r="D927" s="259" t="s">
        <v>3254</v>
      </c>
      <c r="E927" s="258" t="s">
        <v>3255</v>
      </c>
      <c r="F927" s="304" t="s">
        <v>3255</v>
      </c>
    </row>
    <row r="928" spans="2:6" x14ac:dyDescent="0.2">
      <c r="B928" s="305" t="s">
        <v>447</v>
      </c>
      <c r="C928" s="307" t="s">
        <v>487</v>
      </c>
      <c r="D928" s="306" t="s">
        <v>3256</v>
      </c>
      <c r="E928" s="307" t="s">
        <v>3257</v>
      </c>
      <c r="F928" s="308" t="s">
        <v>3257</v>
      </c>
    </row>
    <row r="929" spans="2:6" x14ac:dyDescent="0.2">
      <c r="B929" s="303" t="s">
        <v>447</v>
      </c>
      <c r="C929" s="258" t="s">
        <v>487</v>
      </c>
      <c r="D929" s="259" t="s">
        <v>3258</v>
      </c>
      <c r="E929" s="258" t="s">
        <v>3259</v>
      </c>
      <c r="F929" s="304" t="s">
        <v>3260</v>
      </c>
    </row>
    <row r="930" spans="2:6" x14ac:dyDescent="0.2">
      <c r="B930" s="305" t="s">
        <v>393</v>
      </c>
      <c r="C930" s="307" t="s">
        <v>406</v>
      </c>
      <c r="D930" s="306" t="s">
        <v>3261</v>
      </c>
      <c r="E930" s="307" t="s">
        <v>3262</v>
      </c>
      <c r="F930" s="308" t="s">
        <v>3262</v>
      </c>
    </row>
    <row r="931" spans="2:6" x14ac:dyDescent="0.2">
      <c r="B931" s="303" t="s">
        <v>447</v>
      </c>
      <c r="C931" s="258" t="s">
        <v>487</v>
      </c>
      <c r="D931" s="259" t="s">
        <v>3263</v>
      </c>
      <c r="E931" s="258" t="s">
        <v>3264</v>
      </c>
      <c r="F931" s="304" t="s">
        <v>3264</v>
      </c>
    </row>
    <row r="932" spans="2:6" x14ac:dyDescent="0.2">
      <c r="B932" s="305" t="s">
        <v>432</v>
      </c>
      <c r="C932" s="307" t="s">
        <v>437</v>
      </c>
      <c r="D932" s="306" t="s">
        <v>3265</v>
      </c>
      <c r="E932" s="307" t="s">
        <v>3266</v>
      </c>
      <c r="F932" s="308" t="s">
        <v>3266</v>
      </c>
    </row>
    <row r="933" spans="2:6" x14ac:dyDescent="0.2">
      <c r="B933" s="303" t="s">
        <v>447</v>
      </c>
      <c r="C933" s="258" t="s">
        <v>475</v>
      </c>
      <c r="D933" s="259" t="s">
        <v>3267</v>
      </c>
      <c r="E933" s="258" t="s">
        <v>3268</v>
      </c>
      <c r="F933" s="304" t="s">
        <v>3268</v>
      </c>
    </row>
    <row r="934" spans="2:6" x14ac:dyDescent="0.2">
      <c r="B934" s="305" t="s">
        <v>447</v>
      </c>
      <c r="C934" s="307" t="s">
        <v>459</v>
      </c>
      <c r="D934" s="306" t="s">
        <v>3269</v>
      </c>
      <c r="E934" s="307" t="s">
        <v>3270</v>
      </c>
      <c r="F934" s="308" t="s">
        <v>3270</v>
      </c>
    </row>
    <row r="935" spans="2:6" x14ac:dyDescent="0.2">
      <c r="B935" s="303" t="s">
        <v>447</v>
      </c>
      <c r="C935" s="258" t="s">
        <v>462</v>
      </c>
      <c r="D935" s="259" t="s">
        <v>3271</v>
      </c>
      <c r="E935" s="258" t="s">
        <v>3272</v>
      </c>
      <c r="F935" s="304" t="s">
        <v>3272</v>
      </c>
    </row>
    <row r="936" spans="2:6" x14ac:dyDescent="0.2">
      <c r="B936" s="305" t="s">
        <v>447</v>
      </c>
      <c r="C936" s="307" t="s">
        <v>475</v>
      </c>
      <c r="D936" s="306" t="s">
        <v>3273</v>
      </c>
      <c r="E936" s="307" t="s">
        <v>3274</v>
      </c>
      <c r="F936" s="308" t="s">
        <v>3274</v>
      </c>
    </row>
    <row r="937" spans="2:6" x14ac:dyDescent="0.2">
      <c r="B937" s="303" t="s">
        <v>505</v>
      </c>
      <c r="C937" s="258" t="s">
        <v>511</v>
      </c>
      <c r="D937" s="259" t="s">
        <v>3275</v>
      </c>
      <c r="E937" s="258" t="s">
        <v>3276</v>
      </c>
      <c r="F937" s="304" t="s">
        <v>3276</v>
      </c>
    </row>
    <row r="938" spans="2:6" x14ac:dyDescent="0.2">
      <c r="B938" s="305" t="s">
        <v>537</v>
      </c>
      <c r="C938" s="307" t="s">
        <v>543</v>
      </c>
      <c r="D938" s="306" t="s">
        <v>3277</v>
      </c>
      <c r="E938" s="307" t="s">
        <v>3278</v>
      </c>
      <c r="F938" s="308" t="s">
        <v>3278</v>
      </c>
    </row>
    <row r="939" spans="2:6" x14ac:dyDescent="0.2">
      <c r="B939" s="303" t="s">
        <v>447</v>
      </c>
      <c r="C939" s="258" t="s">
        <v>487</v>
      </c>
      <c r="D939" s="259" t="s">
        <v>3279</v>
      </c>
      <c r="E939" s="258" t="s">
        <v>3280</v>
      </c>
      <c r="F939" s="304" t="s">
        <v>3280</v>
      </c>
    </row>
    <row r="940" spans="2:6" x14ac:dyDescent="0.2">
      <c r="B940" s="305" t="s">
        <v>537</v>
      </c>
      <c r="C940" s="307" t="s">
        <v>543</v>
      </c>
      <c r="D940" s="306" t="s">
        <v>3281</v>
      </c>
      <c r="E940" s="307" t="s">
        <v>3282</v>
      </c>
      <c r="F940" s="308" t="s">
        <v>3282</v>
      </c>
    </row>
    <row r="941" spans="2:6" x14ac:dyDescent="0.2">
      <c r="B941" s="303" t="s">
        <v>393</v>
      </c>
      <c r="C941" s="258" t="s">
        <v>406</v>
      </c>
      <c r="D941" s="259" t="s">
        <v>3283</v>
      </c>
      <c r="E941" s="258" t="s">
        <v>3284</v>
      </c>
      <c r="F941" s="304" t="s">
        <v>3284</v>
      </c>
    </row>
    <row r="942" spans="2:6" x14ac:dyDescent="0.2">
      <c r="B942" s="305" t="s">
        <v>432</v>
      </c>
      <c r="C942" s="307" t="s">
        <v>433</v>
      </c>
      <c r="D942" s="306" t="s">
        <v>3285</v>
      </c>
      <c r="E942" s="307" t="s">
        <v>3286</v>
      </c>
      <c r="F942" s="308" t="s">
        <v>3286</v>
      </c>
    </row>
    <row r="943" spans="2:6" x14ac:dyDescent="0.2">
      <c r="B943" s="303" t="s">
        <v>447</v>
      </c>
      <c r="C943" s="258" t="s">
        <v>478</v>
      </c>
      <c r="D943" s="259" t="s">
        <v>3287</v>
      </c>
      <c r="E943" s="258" t="s">
        <v>3288</v>
      </c>
      <c r="F943" s="304" t="s">
        <v>3288</v>
      </c>
    </row>
    <row r="944" spans="2:6" x14ac:dyDescent="0.2">
      <c r="B944" s="305" t="s">
        <v>537</v>
      </c>
      <c r="C944" s="307" t="s">
        <v>543</v>
      </c>
      <c r="D944" s="306" t="s">
        <v>3289</v>
      </c>
      <c r="E944" s="307" t="s">
        <v>3290</v>
      </c>
      <c r="F944" s="308" t="s">
        <v>3290</v>
      </c>
    </row>
    <row r="945" spans="2:6" x14ac:dyDescent="0.2">
      <c r="B945" s="303" t="s">
        <v>447</v>
      </c>
      <c r="C945" s="258" t="s">
        <v>478</v>
      </c>
      <c r="D945" s="259" t="s">
        <v>3291</v>
      </c>
      <c r="E945" s="258" t="s">
        <v>3292</v>
      </c>
      <c r="F945" s="304" t="s">
        <v>3292</v>
      </c>
    </row>
    <row r="946" spans="2:6" x14ac:dyDescent="0.2">
      <c r="B946" s="305" t="s">
        <v>447</v>
      </c>
      <c r="C946" s="307" t="s">
        <v>487</v>
      </c>
      <c r="D946" s="306" t="s">
        <v>3293</v>
      </c>
      <c r="E946" s="307" t="s">
        <v>3294</v>
      </c>
      <c r="F946" s="308" t="s">
        <v>3294</v>
      </c>
    </row>
    <row r="947" spans="2:6" x14ac:dyDescent="0.2">
      <c r="B947" s="303" t="s">
        <v>432</v>
      </c>
      <c r="C947" s="258" t="s">
        <v>433</v>
      </c>
      <c r="D947" s="259" t="s">
        <v>3295</v>
      </c>
      <c r="E947" s="258" t="s">
        <v>3296</v>
      </c>
      <c r="F947" s="304" t="s">
        <v>3296</v>
      </c>
    </row>
    <row r="948" spans="2:6" x14ac:dyDescent="0.2">
      <c r="B948" s="305" t="s">
        <v>432</v>
      </c>
      <c r="C948" s="307" t="s">
        <v>433</v>
      </c>
      <c r="D948" s="306" t="s">
        <v>3297</v>
      </c>
      <c r="E948" s="307" t="s">
        <v>3298</v>
      </c>
      <c r="F948" s="308" t="s">
        <v>3298</v>
      </c>
    </row>
    <row r="949" spans="2:6" x14ac:dyDescent="0.2">
      <c r="B949" s="303" t="s">
        <v>447</v>
      </c>
      <c r="C949" s="258" t="s">
        <v>462</v>
      </c>
      <c r="D949" s="259" t="s">
        <v>3299</v>
      </c>
      <c r="E949" s="258" t="s">
        <v>3300</v>
      </c>
      <c r="F949" s="304" t="s">
        <v>3300</v>
      </c>
    </row>
    <row r="950" spans="2:6" x14ac:dyDescent="0.2">
      <c r="B950" s="305" t="s">
        <v>447</v>
      </c>
      <c r="C950" s="307" t="s">
        <v>462</v>
      </c>
      <c r="D950" s="306" t="s">
        <v>3301</v>
      </c>
      <c r="E950" s="307" t="s">
        <v>3302</v>
      </c>
      <c r="F950" s="308" t="s">
        <v>3302</v>
      </c>
    </row>
    <row r="951" spans="2:6" x14ac:dyDescent="0.2">
      <c r="B951" s="303" t="s">
        <v>447</v>
      </c>
      <c r="C951" s="258" t="s">
        <v>748</v>
      </c>
      <c r="D951" s="259" t="s">
        <v>3303</v>
      </c>
      <c r="E951" s="258" t="s">
        <v>3304</v>
      </c>
      <c r="F951" s="304" t="s">
        <v>3304</v>
      </c>
    </row>
    <row r="952" spans="2:6" x14ac:dyDescent="0.2">
      <c r="B952" s="305" t="s">
        <v>505</v>
      </c>
      <c r="C952" s="307" t="s">
        <v>511</v>
      </c>
      <c r="D952" s="306" t="s">
        <v>3305</v>
      </c>
      <c r="E952" s="307" t="s">
        <v>3306</v>
      </c>
      <c r="F952" s="308" t="s">
        <v>3306</v>
      </c>
    </row>
    <row r="953" spans="2:6" x14ac:dyDescent="0.2">
      <c r="B953" s="303" t="s">
        <v>447</v>
      </c>
      <c r="C953" s="258" t="s">
        <v>1526</v>
      </c>
      <c r="D953" s="259" t="s">
        <v>3307</v>
      </c>
      <c r="E953" s="258" t="s">
        <v>3308</v>
      </c>
      <c r="F953" s="304" t="s">
        <v>3308</v>
      </c>
    </row>
    <row r="954" spans="2:6" x14ac:dyDescent="0.2">
      <c r="B954" s="305" t="s">
        <v>432</v>
      </c>
      <c r="C954" s="307" t="s">
        <v>433</v>
      </c>
      <c r="D954" s="306" t="s">
        <v>3309</v>
      </c>
      <c r="E954" s="307" t="s">
        <v>3310</v>
      </c>
      <c r="F954" s="308" t="s">
        <v>3310</v>
      </c>
    </row>
    <row r="955" spans="2:6" x14ac:dyDescent="0.2">
      <c r="B955" s="303" t="s">
        <v>447</v>
      </c>
      <c r="C955" s="258" t="s">
        <v>478</v>
      </c>
      <c r="D955" s="259" t="s">
        <v>3311</v>
      </c>
      <c r="E955" s="258" t="s">
        <v>3312</v>
      </c>
      <c r="F955" s="304" t="s">
        <v>3312</v>
      </c>
    </row>
    <row r="956" spans="2:6" x14ac:dyDescent="0.2">
      <c r="B956" s="305" t="s">
        <v>447</v>
      </c>
      <c r="C956" s="307" t="s">
        <v>478</v>
      </c>
      <c r="D956" s="306" t="s">
        <v>1333</v>
      </c>
      <c r="E956" s="307" t="s">
        <v>3313</v>
      </c>
      <c r="F956" s="308" t="s">
        <v>3313</v>
      </c>
    </row>
    <row r="957" spans="2:6" x14ac:dyDescent="0.2">
      <c r="B957" s="303" t="s">
        <v>447</v>
      </c>
      <c r="C957" s="258" t="s">
        <v>1526</v>
      </c>
      <c r="D957" s="259" t="s">
        <v>3314</v>
      </c>
      <c r="E957" s="258" t="s">
        <v>3315</v>
      </c>
      <c r="F957" s="304" t="s">
        <v>3315</v>
      </c>
    </row>
    <row r="958" spans="2:6" x14ac:dyDescent="0.2">
      <c r="B958" s="305" t="s">
        <v>609</v>
      </c>
      <c r="C958" s="307" t="s">
        <v>670</v>
      </c>
      <c r="D958" s="306" t="s">
        <v>3316</v>
      </c>
      <c r="E958" s="307" t="s">
        <v>3317</v>
      </c>
      <c r="F958" s="308" t="s">
        <v>3317</v>
      </c>
    </row>
    <row r="959" spans="2:6" x14ac:dyDescent="0.2">
      <c r="B959" s="303" t="s">
        <v>447</v>
      </c>
      <c r="C959" s="258" t="s">
        <v>470</v>
      </c>
      <c r="D959" s="259" t="s">
        <v>3318</v>
      </c>
      <c r="E959" s="258" t="s">
        <v>3319</v>
      </c>
      <c r="F959" s="304" t="s">
        <v>3319</v>
      </c>
    </row>
    <row r="960" spans="2:6" x14ac:dyDescent="0.2">
      <c r="B960" s="305" t="s">
        <v>447</v>
      </c>
      <c r="C960" s="307" t="s">
        <v>465</v>
      </c>
      <c r="D960" s="306" t="s">
        <v>3320</v>
      </c>
      <c r="E960" s="307" t="s">
        <v>3321</v>
      </c>
      <c r="F960" s="308" t="s">
        <v>3321</v>
      </c>
    </row>
    <row r="961" spans="2:6" x14ac:dyDescent="0.2">
      <c r="B961" s="303" t="s">
        <v>447</v>
      </c>
      <c r="C961" s="258" t="s">
        <v>470</v>
      </c>
      <c r="D961" s="259" t="s">
        <v>3322</v>
      </c>
      <c r="E961" s="258" t="s">
        <v>3323</v>
      </c>
      <c r="F961" s="304" t="s">
        <v>3323</v>
      </c>
    </row>
    <row r="962" spans="2:6" x14ac:dyDescent="0.2">
      <c r="B962" s="305" t="s">
        <v>447</v>
      </c>
      <c r="C962" s="307" t="s">
        <v>470</v>
      </c>
      <c r="D962" s="306" t="s">
        <v>3324</v>
      </c>
      <c r="E962" s="307" t="s">
        <v>3325</v>
      </c>
      <c r="F962" s="308" t="s">
        <v>3325</v>
      </c>
    </row>
    <row r="963" spans="2:6" x14ac:dyDescent="0.2">
      <c r="B963" s="303" t="s">
        <v>447</v>
      </c>
      <c r="C963" s="258" t="s">
        <v>475</v>
      </c>
      <c r="D963" s="259" t="s">
        <v>3326</v>
      </c>
      <c r="E963" s="258" t="s">
        <v>3327</v>
      </c>
      <c r="F963" s="304" t="s">
        <v>3327</v>
      </c>
    </row>
    <row r="964" spans="2:6" x14ac:dyDescent="0.2">
      <c r="B964" s="305" t="s">
        <v>447</v>
      </c>
      <c r="C964" s="307" t="s">
        <v>472</v>
      </c>
      <c r="D964" s="306" t="s">
        <v>3328</v>
      </c>
      <c r="E964" s="307" t="s">
        <v>3329</v>
      </c>
      <c r="F964" s="308" t="s">
        <v>3329</v>
      </c>
    </row>
    <row r="965" spans="2:6" x14ac:dyDescent="0.2">
      <c r="B965" s="303" t="s">
        <v>447</v>
      </c>
      <c r="C965" s="258" t="s">
        <v>465</v>
      </c>
      <c r="D965" s="259" t="s">
        <v>3330</v>
      </c>
      <c r="E965" s="258" t="s">
        <v>3331</v>
      </c>
      <c r="F965" s="304" t="s">
        <v>3331</v>
      </c>
    </row>
    <row r="966" spans="2:6" x14ac:dyDescent="0.2">
      <c r="B966" s="305" t="s">
        <v>447</v>
      </c>
      <c r="C966" s="307" t="s">
        <v>451</v>
      </c>
      <c r="D966" s="306" t="s">
        <v>3332</v>
      </c>
      <c r="E966" s="307" t="s">
        <v>3333</v>
      </c>
      <c r="F966" s="308" t="s">
        <v>3334</v>
      </c>
    </row>
    <row r="967" spans="2:6" x14ac:dyDescent="0.2">
      <c r="B967" s="303" t="s">
        <v>447</v>
      </c>
      <c r="C967" s="258" t="s">
        <v>462</v>
      </c>
      <c r="D967" s="259" t="s">
        <v>3335</v>
      </c>
      <c r="E967" s="258" t="s">
        <v>3336</v>
      </c>
      <c r="F967" s="304" t="s">
        <v>3336</v>
      </c>
    </row>
    <row r="968" spans="2:6" x14ac:dyDescent="0.2">
      <c r="B968" s="305" t="s">
        <v>447</v>
      </c>
      <c r="C968" s="307" t="s">
        <v>1610</v>
      </c>
      <c r="D968" s="306" t="s">
        <v>3337</v>
      </c>
      <c r="E968" s="307" t="s">
        <v>3338</v>
      </c>
      <c r="F968" s="308" t="s">
        <v>3338</v>
      </c>
    </row>
    <row r="969" spans="2:6" x14ac:dyDescent="0.2">
      <c r="B969" s="303" t="s">
        <v>447</v>
      </c>
      <c r="C969" s="258" t="s">
        <v>478</v>
      </c>
      <c r="D969" s="259" t="s">
        <v>3339</v>
      </c>
      <c r="E969" s="258" t="s">
        <v>3340</v>
      </c>
      <c r="F969" s="304" t="s">
        <v>3340</v>
      </c>
    </row>
    <row r="970" spans="2:6" x14ac:dyDescent="0.2">
      <c r="B970" s="305" t="s">
        <v>447</v>
      </c>
      <c r="C970" s="307" t="s">
        <v>487</v>
      </c>
      <c r="D970" s="306" t="s">
        <v>3341</v>
      </c>
      <c r="E970" s="307" t="s">
        <v>3342</v>
      </c>
      <c r="F970" s="308" t="s">
        <v>3342</v>
      </c>
    </row>
    <row r="971" spans="2:6" x14ac:dyDescent="0.2">
      <c r="B971" s="303" t="s">
        <v>447</v>
      </c>
      <c r="C971" s="258" t="s">
        <v>475</v>
      </c>
      <c r="D971" s="259" t="s">
        <v>3343</v>
      </c>
      <c r="E971" s="258" t="s">
        <v>3344</v>
      </c>
      <c r="F971" s="304" t="s">
        <v>3344</v>
      </c>
    </row>
    <row r="972" spans="2:6" x14ac:dyDescent="0.2">
      <c r="B972" s="305" t="s">
        <v>432</v>
      </c>
      <c r="C972" s="307" t="s">
        <v>433</v>
      </c>
      <c r="D972" s="306" t="s">
        <v>3345</v>
      </c>
      <c r="E972" s="307" t="s">
        <v>3346</v>
      </c>
      <c r="F972" s="308" t="s">
        <v>3346</v>
      </c>
    </row>
    <row r="973" spans="2:6" x14ac:dyDescent="0.2">
      <c r="B973" s="303" t="s">
        <v>537</v>
      </c>
      <c r="C973" s="258" t="s">
        <v>543</v>
      </c>
      <c r="D973" s="259" t="s">
        <v>3347</v>
      </c>
      <c r="E973" s="258" t="s">
        <v>3348</v>
      </c>
      <c r="F973" s="304" t="s">
        <v>3348</v>
      </c>
    </row>
    <row r="974" spans="2:6" x14ac:dyDescent="0.2">
      <c r="B974" s="305" t="s">
        <v>537</v>
      </c>
      <c r="C974" s="307" t="s">
        <v>540</v>
      </c>
      <c r="D974" s="306" t="s">
        <v>3349</v>
      </c>
      <c r="E974" s="307" t="s">
        <v>3350</v>
      </c>
      <c r="F974" s="308" t="s">
        <v>3350</v>
      </c>
    </row>
    <row r="975" spans="2:6" x14ac:dyDescent="0.2">
      <c r="B975" s="303" t="s">
        <v>447</v>
      </c>
      <c r="C975" s="258" t="s">
        <v>472</v>
      </c>
      <c r="D975" s="259" t="s">
        <v>3351</v>
      </c>
      <c r="E975" s="258" t="s">
        <v>3352</v>
      </c>
      <c r="F975" s="304" t="s">
        <v>3352</v>
      </c>
    </row>
    <row r="976" spans="2:6" x14ac:dyDescent="0.2">
      <c r="B976" s="305" t="s">
        <v>447</v>
      </c>
      <c r="C976" s="307" t="s">
        <v>462</v>
      </c>
      <c r="D976" s="306" t="s">
        <v>3353</v>
      </c>
      <c r="E976" s="307" t="s">
        <v>3354</v>
      </c>
      <c r="F976" s="308" t="s">
        <v>3354</v>
      </c>
    </row>
    <row r="977" spans="2:6" x14ac:dyDescent="0.2">
      <c r="B977" s="303" t="s">
        <v>447</v>
      </c>
      <c r="C977" s="258" t="s">
        <v>1610</v>
      </c>
      <c r="D977" s="259" t="s">
        <v>3355</v>
      </c>
      <c r="E977" s="258" t="s">
        <v>3356</v>
      </c>
      <c r="F977" s="304" t="s">
        <v>3356</v>
      </c>
    </row>
    <row r="978" spans="2:6" x14ac:dyDescent="0.2">
      <c r="B978" s="305" t="s">
        <v>447</v>
      </c>
      <c r="C978" s="307" t="s">
        <v>487</v>
      </c>
      <c r="D978" s="306" t="s">
        <v>3357</v>
      </c>
      <c r="E978" s="307" t="s">
        <v>3358</v>
      </c>
      <c r="F978" s="308" t="s">
        <v>3358</v>
      </c>
    </row>
    <row r="979" spans="2:6" x14ac:dyDescent="0.2">
      <c r="B979" s="303" t="s">
        <v>447</v>
      </c>
      <c r="C979" s="258" t="s">
        <v>462</v>
      </c>
      <c r="D979" s="259" t="s">
        <v>3359</v>
      </c>
      <c r="E979" s="258" t="s">
        <v>3360</v>
      </c>
      <c r="F979" s="304" t="s">
        <v>3361</v>
      </c>
    </row>
    <row r="980" spans="2:6" x14ac:dyDescent="0.2">
      <c r="B980" s="305" t="s">
        <v>447</v>
      </c>
      <c r="C980" s="307" t="s">
        <v>470</v>
      </c>
      <c r="D980" s="306" t="s">
        <v>3362</v>
      </c>
      <c r="E980" s="307" t="s">
        <v>3363</v>
      </c>
      <c r="F980" s="308" t="s">
        <v>3363</v>
      </c>
    </row>
    <row r="981" spans="2:6" x14ac:dyDescent="0.2">
      <c r="B981" s="303" t="s">
        <v>447</v>
      </c>
      <c r="C981" s="258" t="s">
        <v>475</v>
      </c>
      <c r="D981" s="259" t="s">
        <v>3364</v>
      </c>
      <c r="E981" s="258" t="s">
        <v>3365</v>
      </c>
      <c r="F981" s="304" t="s">
        <v>3365</v>
      </c>
    </row>
    <row r="982" spans="2:6" x14ac:dyDescent="0.2">
      <c r="B982" s="305" t="s">
        <v>609</v>
      </c>
      <c r="C982" s="307" t="s">
        <v>610</v>
      </c>
      <c r="D982" s="306" t="s">
        <v>1118</v>
      </c>
      <c r="E982" s="307" t="s">
        <v>3366</v>
      </c>
      <c r="F982" s="308" t="s">
        <v>3367</v>
      </c>
    </row>
    <row r="983" spans="2:6" x14ac:dyDescent="0.2">
      <c r="B983" s="303" t="s">
        <v>393</v>
      </c>
      <c r="C983" s="258" t="s">
        <v>394</v>
      </c>
      <c r="D983" s="259" t="s">
        <v>3368</v>
      </c>
      <c r="E983" s="258" t="s">
        <v>3369</v>
      </c>
      <c r="F983" s="304" t="s">
        <v>3370</v>
      </c>
    </row>
    <row r="984" spans="2:6" x14ac:dyDescent="0.2">
      <c r="B984" s="305" t="s">
        <v>447</v>
      </c>
      <c r="C984" s="307" t="s">
        <v>472</v>
      </c>
      <c r="D984" s="306" t="s">
        <v>3371</v>
      </c>
      <c r="E984" s="307" t="s">
        <v>3372</v>
      </c>
      <c r="F984" s="308" t="s">
        <v>3372</v>
      </c>
    </row>
    <row r="985" spans="2:6" x14ac:dyDescent="0.2">
      <c r="B985" s="303" t="s">
        <v>537</v>
      </c>
      <c r="C985" s="258" t="s">
        <v>543</v>
      </c>
      <c r="D985" s="259" t="s">
        <v>3373</v>
      </c>
      <c r="E985" s="258" t="s">
        <v>3374</v>
      </c>
      <c r="F985" s="304" t="s">
        <v>3374</v>
      </c>
    </row>
    <row r="986" spans="2:6" x14ac:dyDescent="0.2">
      <c r="B986" s="305" t="s">
        <v>447</v>
      </c>
      <c r="C986" s="307" t="s">
        <v>472</v>
      </c>
      <c r="D986" s="306" t="s">
        <v>3375</v>
      </c>
      <c r="E986" s="307" t="s">
        <v>3376</v>
      </c>
      <c r="F986" s="308" t="s">
        <v>3376</v>
      </c>
    </row>
    <row r="987" spans="2:6" x14ac:dyDescent="0.2">
      <c r="B987" s="303" t="s">
        <v>447</v>
      </c>
      <c r="C987" s="258" t="s">
        <v>475</v>
      </c>
      <c r="D987" s="259" t="s">
        <v>3377</v>
      </c>
      <c r="E987" s="258" t="s">
        <v>3378</v>
      </c>
      <c r="F987" s="304" t="s">
        <v>3378</v>
      </c>
    </row>
    <row r="988" spans="2:6" x14ac:dyDescent="0.2">
      <c r="B988" s="305" t="s">
        <v>447</v>
      </c>
      <c r="C988" s="307" t="s">
        <v>475</v>
      </c>
      <c r="D988" s="306" t="s">
        <v>3379</v>
      </c>
      <c r="E988" s="307" t="s">
        <v>3380</v>
      </c>
      <c r="F988" s="308" t="s">
        <v>3381</v>
      </c>
    </row>
    <row r="989" spans="2:6" x14ac:dyDescent="0.2">
      <c r="B989" s="303" t="s">
        <v>537</v>
      </c>
      <c r="C989" s="258" t="s">
        <v>543</v>
      </c>
      <c r="D989" s="259" t="s">
        <v>3382</v>
      </c>
      <c r="E989" s="258" t="s">
        <v>3383</v>
      </c>
      <c r="F989" s="304" t="s">
        <v>3383</v>
      </c>
    </row>
    <row r="990" spans="2:6" x14ac:dyDescent="0.2">
      <c r="B990" s="305" t="s">
        <v>447</v>
      </c>
      <c r="C990" s="307" t="s">
        <v>459</v>
      </c>
      <c r="D990" s="306" t="s">
        <v>3384</v>
      </c>
      <c r="E990" s="307" t="s">
        <v>3385</v>
      </c>
      <c r="F990" s="308" t="s">
        <v>3385</v>
      </c>
    </row>
    <row r="991" spans="2:6" x14ac:dyDescent="0.2">
      <c r="B991" s="303" t="s">
        <v>447</v>
      </c>
      <c r="C991" s="258" t="s">
        <v>1526</v>
      </c>
      <c r="D991" s="259" t="s">
        <v>3386</v>
      </c>
      <c r="E991" s="258" t="s">
        <v>3387</v>
      </c>
      <c r="F991" s="304" t="s">
        <v>3387</v>
      </c>
    </row>
    <row r="992" spans="2:6" x14ac:dyDescent="0.2">
      <c r="B992" s="305" t="s">
        <v>393</v>
      </c>
      <c r="C992" s="307" t="s">
        <v>394</v>
      </c>
      <c r="D992" s="306" t="s">
        <v>3388</v>
      </c>
      <c r="E992" s="307" t="s">
        <v>3389</v>
      </c>
      <c r="F992" s="308" t="s">
        <v>3389</v>
      </c>
    </row>
    <row r="993" spans="2:6" x14ac:dyDescent="0.2">
      <c r="B993" s="303" t="s">
        <v>447</v>
      </c>
      <c r="C993" s="258" t="s">
        <v>459</v>
      </c>
      <c r="D993" s="259" t="s">
        <v>3390</v>
      </c>
      <c r="E993" s="258" t="s">
        <v>3391</v>
      </c>
      <c r="F993" s="304" t="s">
        <v>3391</v>
      </c>
    </row>
    <row r="994" spans="2:6" x14ac:dyDescent="0.2">
      <c r="B994" s="305" t="s">
        <v>447</v>
      </c>
      <c r="C994" s="307" t="s">
        <v>465</v>
      </c>
      <c r="D994" s="306" t="s">
        <v>3392</v>
      </c>
      <c r="E994" s="307" t="s">
        <v>3393</v>
      </c>
      <c r="F994" s="308" t="s">
        <v>3393</v>
      </c>
    </row>
    <row r="995" spans="2:6" x14ac:dyDescent="0.2">
      <c r="B995" s="303" t="s">
        <v>447</v>
      </c>
      <c r="C995" s="258" t="s">
        <v>472</v>
      </c>
      <c r="D995" s="259" t="s">
        <v>3394</v>
      </c>
      <c r="E995" s="258" t="s">
        <v>3395</v>
      </c>
      <c r="F995" s="304" t="s">
        <v>3395</v>
      </c>
    </row>
    <row r="996" spans="2:6" x14ac:dyDescent="0.2">
      <c r="B996" s="305" t="s">
        <v>447</v>
      </c>
      <c r="C996" s="307" t="s">
        <v>1556</v>
      </c>
      <c r="D996" s="306" t="s">
        <v>3396</v>
      </c>
      <c r="E996" s="307" t="s">
        <v>3397</v>
      </c>
      <c r="F996" s="308" t="s">
        <v>3397</v>
      </c>
    </row>
    <row r="997" spans="2:6" x14ac:dyDescent="0.2">
      <c r="B997" s="303" t="s">
        <v>447</v>
      </c>
      <c r="C997" s="258" t="s">
        <v>478</v>
      </c>
      <c r="D997" s="259" t="s">
        <v>3398</v>
      </c>
      <c r="E997" s="258" t="s">
        <v>3399</v>
      </c>
      <c r="F997" s="304" t="s">
        <v>3399</v>
      </c>
    </row>
    <row r="998" spans="2:6" x14ac:dyDescent="0.2">
      <c r="B998" s="305" t="s">
        <v>432</v>
      </c>
      <c r="C998" s="307" t="s">
        <v>433</v>
      </c>
      <c r="D998" s="306" t="s">
        <v>3400</v>
      </c>
      <c r="E998" s="307" t="s">
        <v>3401</v>
      </c>
      <c r="F998" s="308" t="s">
        <v>3402</v>
      </c>
    </row>
    <row r="999" spans="2:6" x14ac:dyDescent="0.2">
      <c r="B999" s="303" t="s">
        <v>422</v>
      </c>
      <c r="C999" s="258" t="s">
        <v>423</v>
      </c>
      <c r="D999" s="259" t="s">
        <v>3403</v>
      </c>
      <c r="E999" s="258" t="s">
        <v>3404</v>
      </c>
      <c r="F999" s="304" t="s">
        <v>3404</v>
      </c>
    </row>
    <row r="1000" spans="2:6" x14ac:dyDescent="0.2">
      <c r="B1000" s="305" t="s">
        <v>537</v>
      </c>
      <c r="C1000" s="307" t="s">
        <v>543</v>
      </c>
      <c r="D1000" s="306" t="s">
        <v>3405</v>
      </c>
      <c r="E1000" s="307" t="s">
        <v>3406</v>
      </c>
      <c r="F1000" s="308" t="s">
        <v>3406</v>
      </c>
    </row>
    <row r="1001" spans="2:6" x14ac:dyDescent="0.2">
      <c r="B1001" s="303" t="s">
        <v>447</v>
      </c>
      <c r="C1001" s="258" t="s">
        <v>487</v>
      </c>
      <c r="D1001" s="259" t="s">
        <v>3407</v>
      </c>
      <c r="E1001" s="258" t="s">
        <v>3408</v>
      </c>
      <c r="F1001" s="304" t="s">
        <v>3408</v>
      </c>
    </row>
    <row r="1002" spans="2:6" x14ac:dyDescent="0.2">
      <c r="B1002" s="305" t="s">
        <v>447</v>
      </c>
      <c r="C1002" s="307" t="s">
        <v>1610</v>
      </c>
      <c r="D1002" s="306" t="s">
        <v>3409</v>
      </c>
      <c r="E1002" s="307" t="s">
        <v>3410</v>
      </c>
      <c r="F1002" s="308" t="s">
        <v>3410</v>
      </c>
    </row>
    <row r="1003" spans="2:6" x14ac:dyDescent="0.2">
      <c r="B1003" s="303" t="s">
        <v>447</v>
      </c>
      <c r="C1003" s="258" t="s">
        <v>459</v>
      </c>
      <c r="D1003" s="259" t="s">
        <v>3411</v>
      </c>
      <c r="E1003" s="258" t="s">
        <v>3412</v>
      </c>
      <c r="F1003" s="304" t="s">
        <v>3412</v>
      </c>
    </row>
    <row r="1004" spans="2:6" x14ac:dyDescent="0.2">
      <c r="B1004" s="305" t="s">
        <v>447</v>
      </c>
      <c r="C1004" s="307" t="s">
        <v>472</v>
      </c>
      <c r="D1004" s="306" t="s">
        <v>3413</v>
      </c>
      <c r="E1004" s="307" t="s">
        <v>3414</v>
      </c>
      <c r="F1004" s="308" t="s">
        <v>3414</v>
      </c>
    </row>
    <row r="1005" spans="2:6" x14ac:dyDescent="0.2">
      <c r="B1005" s="303" t="s">
        <v>447</v>
      </c>
      <c r="C1005" s="258" t="s">
        <v>448</v>
      </c>
      <c r="D1005" s="259" t="s">
        <v>3415</v>
      </c>
      <c r="E1005" s="258" t="s">
        <v>3416</v>
      </c>
      <c r="F1005" s="304" t="s">
        <v>3416</v>
      </c>
    </row>
    <row r="1006" spans="2:6" x14ac:dyDescent="0.2">
      <c r="B1006" s="305" t="s">
        <v>447</v>
      </c>
      <c r="C1006" s="307" t="s">
        <v>475</v>
      </c>
      <c r="D1006" s="306" t="s">
        <v>3417</v>
      </c>
      <c r="E1006" s="307" t="s">
        <v>3418</v>
      </c>
      <c r="F1006" s="308" t="s">
        <v>3418</v>
      </c>
    </row>
    <row r="1007" spans="2:6" x14ac:dyDescent="0.2">
      <c r="B1007" s="303" t="s">
        <v>447</v>
      </c>
      <c r="C1007" s="258" t="s">
        <v>478</v>
      </c>
      <c r="D1007" s="259" t="s">
        <v>3419</v>
      </c>
      <c r="E1007" s="258" t="s">
        <v>3420</v>
      </c>
      <c r="F1007" s="304" t="s">
        <v>3420</v>
      </c>
    </row>
    <row r="1008" spans="2:6" x14ac:dyDescent="0.2">
      <c r="B1008" s="305" t="s">
        <v>393</v>
      </c>
      <c r="C1008" s="307" t="s">
        <v>416</v>
      </c>
      <c r="D1008" s="306" t="s">
        <v>3421</v>
      </c>
      <c r="E1008" s="307" t="s">
        <v>3422</v>
      </c>
      <c r="F1008" s="308" t="s">
        <v>3422</v>
      </c>
    </row>
    <row r="1009" spans="2:6" x14ac:dyDescent="0.2">
      <c r="B1009" s="303" t="s">
        <v>537</v>
      </c>
      <c r="C1009" s="258" t="s">
        <v>543</v>
      </c>
      <c r="D1009" s="259" t="s">
        <v>3423</v>
      </c>
      <c r="E1009" s="258" t="s">
        <v>3424</v>
      </c>
      <c r="F1009" s="304" t="s">
        <v>3424</v>
      </c>
    </row>
    <row r="1010" spans="2:6" x14ac:dyDescent="0.2">
      <c r="B1010" s="305" t="s">
        <v>447</v>
      </c>
      <c r="C1010" s="307" t="s">
        <v>475</v>
      </c>
      <c r="D1010" s="306" t="s">
        <v>3425</v>
      </c>
      <c r="E1010" s="307" t="s">
        <v>3426</v>
      </c>
      <c r="F1010" s="308" t="s">
        <v>3426</v>
      </c>
    </row>
    <row r="1011" spans="2:6" x14ac:dyDescent="0.2">
      <c r="B1011" s="303" t="s">
        <v>432</v>
      </c>
      <c r="C1011" s="258" t="s">
        <v>437</v>
      </c>
      <c r="D1011" s="259" t="s">
        <v>3427</v>
      </c>
      <c r="E1011" s="258" t="s">
        <v>3428</v>
      </c>
      <c r="F1011" s="304" t="s">
        <v>3429</v>
      </c>
    </row>
    <row r="1012" spans="2:6" x14ac:dyDescent="0.2">
      <c r="B1012" s="305" t="s">
        <v>447</v>
      </c>
      <c r="C1012" s="307" t="s">
        <v>472</v>
      </c>
      <c r="D1012" s="306" t="s">
        <v>3430</v>
      </c>
      <c r="E1012" s="307" t="s">
        <v>3431</v>
      </c>
      <c r="F1012" s="308" t="s">
        <v>3431</v>
      </c>
    </row>
    <row r="1013" spans="2:6" x14ac:dyDescent="0.2">
      <c r="B1013" s="303" t="s">
        <v>447</v>
      </c>
      <c r="C1013" s="258" t="s">
        <v>748</v>
      </c>
      <c r="D1013" s="259" t="s">
        <v>3432</v>
      </c>
      <c r="E1013" s="258" t="s">
        <v>3433</v>
      </c>
      <c r="F1013" s="304" t="s">
        <v>3433</v>
      </c>
    </row>
    <row r="1014" spans="2:6" x14ac:dyDescent="0.2">
      <c r="B1014" s="305" t="s">
        <v>422</v>
      </c>
      <c r="C1014" s="307" t="s">
        <v>423</v>
      </c>
      <c r="D1014" s="306" t="s">
        <v>3434</v>
      </c>
      <c r="E1014" s="307" t="s">
        <v>3435</v>
      </c>
      <c r="F1014" s="308" t="s">
        <v>3435</v>
      </c>
    </row>
    <row r="1015" spans="2:6" x14ac:dyDescent="0.2">
      <c r="B1015" s="303" t="s">
        <v>447</v>
      </c>
      <c r="C1015" s="258" t="s">
        <v>462</v>
      </c>
      <c r="D1015" s="259" t="s">
        <v>3436</v>
      </c>
      <c r="E1015" s="258" t="s">
        <v>3437</v>
      </c>
      <c r="F1015" s="304" t="s">
        <v>3437</v>
      </c>
    </row>
    <row r="1016" spans="2:6" x14ac:dyDescent="0.2">
      <c r="B1016" s="305" t="s">
        <v>393</v>
      </c>
      <c r="C1016" s="307" t="s">
        <v>416</v>
      </c>
      <c r="D1016" s="306" t="s">
        <v>3438</v>
      </c>
      <c r="E1016" s="307" t="s">
        <v>3439</v>
      </c>
      <c r="F1016" s="308" t="s">
        <v>3439</v>
      </c>
    </row>
    <row r="1017" spans="2:6" x14ac:dyDescent="0.2">
      <c r="B1017" s="303" t="s">
        <v>447</v>
      </c>
      <c r="C1017" s="258" t="s">
        <v>475</v>
      </c>
      <c r="D1017" s="259" t="s">
        <v>3440</v>
      </c>
      <c r="E1017" s="258" t="s">
        <v>3441</v>
      </c>
      <c r="F1017" s="304" t="s">
        <v>3441</v>
      </c>
    </row>
    <row r="1018" spans="2:6" x14ac:dyDescent="0.2">
      <c r="B1018" s="305" t="s">
        <v>422</v>
      </c>
      <c r="C1018" s="307" t="s">
        <v>423</v>
      </c>
      <c r="D1018" s="306" t="s">
        <v>3442</v>
      </c>
      <c r="E1018" s="307" t="s">
        <v>3443</v>
      </c>
      <c r="F1018" s="308" t="s">
        <v>3443</v>
      </c>
    </row>
    <row r="1019" spans="2:6" x14ac:dyDescent="0.2">
      <c r="B1019" s="303" t="s">
        <v>609</v>
      </c>
      <c r="C1019" s="258" t="s">
        <v>640</v>
      </c>
      <c r="D1019" s="259" t="s">
        <v>3444</v>
      </c>
      <c r="E1019" s="258" t="s">
        <v>3445</v>
      </c>
      <c r="F1019" s="304" t="s">
        <v>3445</v>
      </c>
    </row>
    <row r="1020" spans="2:6" x14ac:dyDescent="0.2">
      <c r="B1020" s="305" t="s">
        <v>393</v>
      </c>
      <c r="C1020" s="307" t="s">
        <v>406</v>
      </c>
      <c r="D1020" s="306" t="s">
        <v>3446</v>
      </c>
      <c r="E1020" s="307" t="s">
        <v>3447</v>
      </c>
      <c r="F1020" s="308" t="s">
        <v>3447</v>
      </c>
    </row>
    <row r="1021" spans="2:6" x14ac:dyDescent="0.2">
      <c r="B1021" s="303" t="s">
        <v>393</v>
      </c>
      <c r="C1021" s="258" t="s">
        <v>394</v>
      </c>
      <c r="D1021" s="259" t="s">
        <v>3448</v>
      </c>
      <c r="E1021" s="258" t="s">
        <v>3449</v>
      </c>
      <c r="F1021" s="304" t="s">
        <v>3449</v>
      </c>
    </row>
    <row r="1022" spans="2:6" x14ac:dyDescent="0.2">
      <c r="B1022" s="305" t="s">
        <v>422</v>
      </c>
      <c r="C1022" s="307" t="s">
        <v>423</v>
      </c>
      <c r="D1022" s="306" t="s">
        <v>3450</v>
      </c>
      <c r="E1022" s="307" t="s">
        <v>3451</v>
      </c>
      <c r="F1022" s="308" t="s">
        <v>3451</v>
      </c>
    </row>
    <row r="1023" spans="2:6" x14ac:dyDescent="0.2">
      <c r="B1023" s="303" t="s">
        <v>447</v>
      </c>
      <c r="C1023" s="258" t="s">
        <v>470</v>
      </c>
      <c r="D1023" s="259" t="s">
        <v>3452</v>
      </c>
      <c r="E1023" s="258" t="s">
        <v>3453</v>
      </c>
      <c r="F1023" s="304" t="s">
        <v>3453</v>
      </c>
    </row>
    <row r="1024" spans="2:6" x14ac:dyDescent="0.2">
      <c r="B1024" s="305" t="s">
        <v>393</v>
      </c>
      <c r="C1024" s="307" t="s">
        <v>406</v>
      </c>
      <c r="D1024" s="306" t="s">
        <v>3454</v>
      </c>
      <c r="E1024" s="307" t="s">
        <v>3455</v>
      </c>
      <c r="F1024" s="308" t="s">
        <v>3455</v>
      </c>
    </row>
    <row r="1025" spans="2:6" x14ac:dyDescent="0.2">
      <c r="B1025" s="303" t="s">
        <v>609</v>
      </c>
      <c r="C1025" s="258" t="s">
        <v>610</v>
      </c>
      <c r="D1025" s="259" t="s">
        <v>1142</v>
      </c>
      <c r="E1025" s="258" t="s">
        <v>3456</v>
      </c>
      <c r="F1025" s="304" t="s">
        <v>3457</v>
      </c>
    </row>
    <row r="1026" spans="2:6" x14ac:dyDescent="0.2">
      <c r="B1026" s="305" t="s">
        <v>447</v>
      </c>
      <c r="C1026" s="307" t="s">
        <v>475</v>
      </c>
      <c r="D1026" s="306" t="s">
        <v>3458</v>
      </c>
      <c r="E1026" s="307" t="s">
        <v>3459</v>
      </c>
      <c r="F1026" s="308" t="s">
        <v>3459</v>
      </c>
    </row>
    <row r="1027" spans="2:6" x14ac:dyDescent="0.2">
      <c r="B1027" s="303" t="s">
        <v>537</v>
      </c>
      <c r="C1027" s="258" t="s">
        <v>543</v>
      </c>
      <c r="D1027" s="259" t="s">
        <v>3460</v>
      </c>
      <c r="E1027" s="258" t="s">
        <v>3461</v>
      </c>
      <c r="F1027" s="304" t="s">
        <v>3461</v>
      </c>
    </row>
    <row r="1028" spans="2:6" x14ac:dyDescent="0.2">
      <c r="B1028" s="305" t="s">
        <v>447</v>
      </c>
      <c r="C1028" s="307" t="s">
        <v>475</v>
      </c>
      <c r="D1028" s="306" t="s">
        <v>3462</v>
      </c>
      <c r="E1028" s="307" t="s">
        <v>3463</v>
      </c>
      <c r="F1028" s="308" t="s">
        <v>3464</v>
      </c>
    </row>
    <row r="1029" spans="2:6" x14ac:dyDescent="0.2">
      <c r="B1029" s="303" t="s">
        <v>447</v>
      </c>
      <c r="C1029" s="258" t="s">
        <v>478</v>
      </c>
      <c r="D1029" s="259" t="s">
        <v>3465</v>
      </c>
      <c r="E1029" s="258" t="s">
        <v>3466</v>
      </c>
      <c r="F1029" s="304" t="s">
        <v>3466</v>
      </c>
    </row>
    <row r="1030" spans="2:6" x14ac:dyDescent="0.2">
      <c r="B1030" s="305" t="s">
        <v>447</v>
      </c>
      <c r="C1030" s="307" t="s">
        <v>478</v>
      </c>
      <c r="D1030" s="306" t="s">
        <v>3467</v>
      </c>
      <c r="E1030" s="307" t="s">
        <v>3468</v>
      </c>
      <c r="F1030" s="308" t="s">
        <v>3468</v>
      </c>
    </row>
    <row r="1031" spans="2:6" x14ac:dyDescent="0.2">
      <c r="B1031" s="303" t="s">
        <v>505</v>
      </c>
      <c r="C1031" s="258" t="s">
        <v>511</v>
      </c>
      <c r="D1031" s="259" t="s">
        <v>3469</v>
      </c>
      <c r="E1031" s="258" t="s">
        <v>3470</v>
      </c>
      <c r="F1031" s="304" t="s">
        <v>3471</v>
      </c>
    </row>
    <row r="1032" spans="2:6" x14ac:dyDescent="0.2">
      <c r="B1032" s="305" t="s">
        <v>422</v>
      </c>
      <c r="C1032" s="307" t="s">
        <v>423</v>
      </c>
      <c r="D1032" s="306" t="s">
        <v>3472</v>
      </c>
      <c r="E1032" s="307" t="s">
        <v>3473</v>
      </c>
      <c r="F1032" s="308" t="s">
        <v>3473</v>
      </c>
    </row>
    <row r="1033" spans="2:6" x14ac:dyDescent="0.2">
      <c r="B1033" s="303" t="s">
        <v>393</v>
      </c>
      <c r="C1033" s="258" t="s">
        <v>394</v>
      </c>
      <c r="D1033" s="259" t="s">
        <v>3474</v>
      </c>
      <c r="E1033" s="258" t="s">
        <v>3475</v>
      </c>
      <c r="F1033" s="304" t="s">
        <v>3475</v>
      </c>
    </row>
    <row r="1034" spans="2:6" x14ac:dyDescent="0.2">
      <c r="B1034" s="305" t="s">
        <v>447</v>
      </c>
      <c r="C1034" s="307" t="s">
        <v>1526</v>
      </c>
      <c r="D1034" s="306" t="s">
        <v>3476</v>
      </c>
      <c r="E1034" s="307" t="s">
        <v>3477</v>
      </c>
      <c r="F1034" s="308" t="s">
        <v>3477</v>
      </c>
    </row>
    <row r="1035" spans="2:6" x14ac:dyDescent="0.2">
      <c r="B1035" s="303" t="s">
        <v>447</v>
      </c>
      <c r="C1035" s="258" t="s">
        <v>478</v>
      </c>
      <c r="D1035" s="259" t="s">
        <v>3478</v>
      </c>
      <c r="E1035" s="258" t="s">
        <v>3479</v>
      </c>
      <c r="F1035" s="304" t="s">
        <v>3479</v>
      </c>
    </row>
    <row r="1036" spans="2:6" x14ac:dyDescent="0.2">
      <c r="B1036" s="305" t="s">
        <v>447</v>
      </c>
      <c r="C1036" s="307" t="s">
        <v>475</v>
      </c>
      <c r="D1036" s="306" t="s">
        <v>3480</v>
      </c>
      <c r="E1036" s="307" t="s">
        <v>3481</v>
      </c>
      <c r="F1036" s="308" t="s">
        <v>3481</v>
      </c>
    </row>
    <row r="1037" spans="2:6" x14ac:dyDescent="0.2">
      <c r="B1037" s="303" t="s">
        <v>447</v>
      </c>
      <c r="C1037" s="258" t="s">
        <v>472</v>
      </c>
      <c r="D1037" s="259" t="s">
        <v>3482</v>
      </c>
      <c r="E1037" s="258" t="s">
        <v>3483</v>
      </c>
      <c r="F1037" s="304" t="s">
        <v>3483</v>
      </c>
    </row>
    <row r="1038" spans="2:6" x14ac:dyDescent="0.2">
      <c r="B1038" s="305" t="s">
        <v>447</v>
      </c>
      <c r="C1038" s="307" t="s">
        <v>475</v>
      </c>
      <c r="D1038" s="306" t="s">
        <v>3484</v>
      </c>
      <c r="E1038" s="307" t="s">
        <v>3485</v>
      </c>
      <c r="F1038" s="308" t="s">
        <v>3485</v>
      </c>
    </row>
    <row r="1039" spans="2:6" x14ac:dyDescent="0.2">
      <c r="B1039" s="303" t="s">
        <v>393</v>
      </c>
      <c r="C1039" s="258" t="s">
        <v>406</v>
      </c>
      <c r="D1039" s="259" t="s">
        <v>3486</v>
      </c>
      <c r="E1039" s="258" t="s">
        <v>3487</v>
      </c>
      <c r="F1039" s="304" t="s">
        <v>3488</v>
      </c>
    </row>
    <row r="1040" spans="2:6" x14ac:dyDescent="0.2">
      <c r="B1040" s="305" t="s">
        <v>537</v>
      </c>
      <c r="C1040" s="307" t="s">
        <v>543</v>
      </c>
      <c r="D1040" s="306" t="s">
        <v>3489</v>
      </c>
      <c r="E1040" s="307" t="s">
        <v>3490</v>
      </c>
      <c r="F1040" s="308" t="s">
        <v>3490</v>
      </c>
    </row>
    <row r="1041" spans="2:6" x14ac:dyDescent="0.2">
      <c r="B1041" s="303" t="s">
        <v>447</v>
      </c>
      <c r="C1041" s="258" t="s">
        <v>472</v>
      </c>
      <c r="D1041" s="259" t="s">
        <v>3491</v>
      </c>
      <c r="E1041" s="258" t="s">
        <v>3492</v>
      </c>
      <c r="F1041" s="304" t="s">
        <v>3492</v>
      </c>
    </row>
    <row r="1042" spans="2:6" x14ac:dyDescent="0.2">
      <c r="B1042" s="305" t="s">
        <v>537</v>
      </c>
      <c r="C1042" s="307" t="s">
        <v>543</v>
      </c>
      <c r="D1042" s="306" t="s">
        <v>3493</v>
      </c>
      <c r="E1042" s="307" t="s">
        <v>3494</v>
      </c>
      <c r="F1042" s="308" t="s">
        <v>3494</v>
      </c>
    </row>
    <row r="1043" spans="2:6" x14ac:dyDescent="0.2">
      <c r="B1043" s="303" t="s">
        <v>447</v>
      </c>
      <c r="C1043" s="258" t="s">
        <v>475</v>
      </c>
      <c r="D1043" s="259" t="s">
        <v>3495</v>
      </c>
      <c r="E1043" s="258" t="s">
        <v>3496</v>
      </c>
      <c r="F1043" s="304" t="s">
        <v>3496</v>
      </c>
    </row>
    <row r="1044" spans="2:6" x14ac:dyDescent="0.2">
      <c r="B1044" s="305" t="s">
        <v>447</v>
      </c>
      <c r="C1044" s="307" t="s">
        <v>475</v>
      </c>
      <c r="D1044" s="306" t="s">
        <v>3497</v>
      </c>
      <c r="E1044" s="307" t="s">
        <v>3498</v>
      </c>
      <c r="F1044" s="308" t="s">
        <v>3498</v>
      </c>
    </row>
    <row r="1045" spans="2:6" x14ac:dyDescent="0.2">
      <c r="B1045" s="303" t="s">
        <v>537</v>
      </c>
      <c r="C1045" s="258" t="s">
        <v>543</v>
      </c>
      <c r="D1045" s="259" t="s">
        <v>3499</v>
      </c>
      <c r="E1045" s="258" t="s">
        <v>3500</v>
      </c>
      <c r="F1045" s="304" t="s">
        <v>3501</v>
      </c>
    </row>
    <row r="1046" spans="2:6" x14ac:dyDescent="0.2">
      <c r="B1046" s="305" t="s">
        <v>447</v>
      </c>
      <c r="C1046" s="307" t="s">
        <v>475</v>
      </c>
      <c r="D1046" s="306" t="s">
        <v>3502</v>
      </c>
      <c r="E1046" s="307" t="s">
        <v>3503</v>
      </c>
      <c r="F1046" s="308" t="s">
        <v>3503</v>
      </c>
    </row>
    <row r="1047" spans="2:6" x14ac:dyDescent="0.2">
      <c r="B1047" s="303" t="s">
        <v>537</v>
      </c>
      <c r="C1047" s="258" t="s">
        <v>543</v>
      </c>
      <c r="D1047" s="259" t="s">
        <v>3504</v>
      </c>
      <c r="E1047" s="258" t="s">
        <v>3505</v>
      </c>
      <c r="F1047" s="304" t="s">
        <v>3505</v>
      </c>
    </row>
    <row r="1048" spans="2:6" x14ac:dyDescent="0.2">
      <c r="B1048" s="305" t="s">
        <v>505</v>
      </c>
      <c r="C1048" s="307" t="s">
        <v>511</v>
      </c>
      <c r="D1048" s="306" t="s">
        <v>3506</v>
      </c>
      <c r="E1048" s="307" t="s">
        <v>3507</v>
      </c>
      <c r="F1048" s="308" t="s">
        <v>3507</v>
      </c>
    </row>
    <row r="1049" spans="2:6" x14ac:dyDescent="0.2">
      <c r="B1049" s="303" t="s">
        <v>537</v>
      </c>
      <c r="C1049" s="258" t="s">
        <v>543</v>
      </c>
      <c r="D1049" s="259" t="s">
        <v>3508</v>
      </c>
      <c r="E1049" s="258" t="s">
        <v>3509</v>
      </c>
      <c r="F1049" s="304" t="s">
        <v>3509</v>
      </c>
    </row>
    <row r="1050" spans="2:6" x14ac:dyDescent="0.2">
      <c r="B1050" s="305" t="s">
        <v>447</v>
      </c>
      <c r="C1050" s="307" t="s">
        <v>748</v>
      </c>
      <c r="D1050" s="306" t="s">
        <v>3510</v>
      </c>
      <c r="E1050" s="307" t="s">
        <v>3511</v>
      </c>
      <c r="F1050" s="308" t="s">
        <v>3511</v>
      </c>
    </row>
    <row r="1051" spans="2:6" x14ac:dyDescent="0.2">
      <c r="B1051" s="303" t="s">
        <v>447</v>
      </c>
      <c r="C1051" s="258" t="s">
        <v>475</v>
      </c>
      <c r="D1051" s="259" t="s">
        <v>3512</v>
      </c>
      <c r="E1051" s="258" t="s">
        <v>3513</v>
      </c>
      <c r="F1051" s="304" t="s">
        <v>3514</v>
      </c>
    </row>
    <row r="1052" spans="2:6" x14ac:dyDescent="0.2">
      <c r="B1052" s="305" t="s">
        <v>422</v>
      </c>
      <c r="C1052" s="307" t="s">
        <v>423</v>
      </c>
      <c r="D1052" s="306" t="s">
        <v>3515</v>
      </c>
      <c r="E1052" s="307" t="s">
        <v>3516</v>
      </c>
      <c r="F1052" s="308" t="s">
        <v>3516</v>
      </c>
    </row>
    <row r="1053" spans="2:6" x14ac:dyDescent="0.2">
      <c r="B1053" s="303" t="s">
        <v>393</v>
      </c>
      <c r="C1053" s="258" t="s">
        <v>394</v>
      </c>
      <c r="D1053" s="259" t="s">
        <v>3517</v>
      </c>
      <c r="E1053" s="258" t="s">
        <v>3518</v>
      </c>
      <c r="F1053" s="304" t="s">
        <v>3519</v>
      </c>
    </row>
    <row r="1054" spans="2:6" x14ac:dyDescent="0.2">
      <c r="B1054" s="305" t="s">
        <v>447</v>
      </c>
      <c r="C1054" s="307" t="s">
        <v>748</v>
      </c>
      <c r="D1054" s="306" t="s">
        <v>1352</v>
      </c>
      <c r="E1054" s="307" t="s">
        <v>3520</v>
      </c>
      <c r="F1054" s="308" t="s">
        <v>3520</v>
      </c>
    </row>
    <row r="1055" spans="2:6" x14ac:dyDescent="0.2">
      <c r="B1055" s="303" t="s">
        <v>447</v>
      </c>
      <c r="C1055" s="258" t="s">
        <v>478</v>
      </c>
      <c r="D1055" s="259" t="s">
        <v>3521</v>
      </c>
      <c r="E1055" s="258" t="s">
        <v>3522</v>
      </c>
      <c r="F1055" s="304" t="s">
        <v>3522</v>
      </c>
    </row>
    <row r="1056" spans="2:6" x14ac:dyDescent="0.2">
      <c r="B1056" s="305" t="s">
        <v>447</v>
      </c>
      <c r="C1056" s="307" t="s">
        <v>454</v>
      </c>
      <c r="D1056" s="306" t="s">
        <v>3523</v>
      </c>
      <c r="E1056" s="307" t="s">
        <v>2486</v>
      </c>
      <c r="F1056" s="308" t="s">
        <v>2486</v>
      </c>
    </row>
    <row r="1057" spans="2:6" x14ac:dyDescent="0.2">
      <c r="B1057" s="303" t="s">
        <v>447</v>
      </c>
      <c r="C1057" s="258" t="s">
        <v>1556</v>
      </c>
      <c r="D1057" s="259" t="s">
        <v>3524</v>
      </c>
      <c r="E1057" s="258" t="s">
        <v>3525</v>
      </c>
      <c r="F1057" s="304" t="s">
        <v>3525</v>
      </c>
    </row>
    <row r="1058" spans="2:6" x14ac:dyDescent="0.2">
      <c r="B1058" s="305" t="s">
        <v>447</v>
      </c>
      <c r="C1058" s="307" t="s">
        <v>475</v>
      </c>
      <c r="D1058" s="306" t="s">
        <v>3526</v>
      </c>
      <c r="E1058" s="307" t="s">
        <v>3527</v>
      </c>
      <c r="F1058" s="308" t="s">
        <v>3528</v>
      </c>
    </row>
    <row r="1059" spans="2:6" x14ac:dyDescent="0.2">
      <c r="B1059" s="303" t="s">
        <v>447</v>
      </c>
      <c r="C1059" s="258" t="s">
        <v>470</v>
      </c>
      <c r="D1059" s="259" t="s">
        <v>3529</v>
      </c>
      <c r="E1059" s="258" t="s">
        <v>3530</v>
      </c>
      <c r="F1059" s="304" t="s">
        <v>3530</v>
      </c>
    </row>
    <row r="1060" spans="2:6" x14ac:dyDescent="0.2">
      <c r="B1060" s="305" t="s">
        <v>447</v>
      </c>
      <c r="C1060" s="307" t="s">
        <v>472</v>
      </c>
      <c r="D1060" s="306" t="s">
        <v>3531</v>
      </c>
      <c r="E1060" s="307" t="s">
        <v>3532</v>
      </c>
      <c r="F1060" s="308" t="s">
        <v>3532</v>
      </c>
    </row>
    <row r="1061" spans="2:6" x14ac:dyDescent="0.2">
      <c r="B1061" s="303" t="s">
        <v>447</v>
      </c>
      <c r="C1061" s="258" t="s">
        <v>472</v>
      </c>
      <c r="D1061" s="259" t="s">
        <v>3533</v>
      </c>
      <c r="E1061" s="258" t="s">
        <v>3534</v>
      </c>
      <c r="F1061" s="304" t="s">
        <v>3534</v>
      </c>
    </row>
    <row r="1062" spans="2:6" x14ac:dyDescent="0.2">
      <c r="B1062" s="305" t="s">
        <v>505</v>
      </c>
      <c r="C1062" s="307" t="s">
        <v>511</v>
      </c>
      <c r="D1062" s="306" t="s">
        <v>3535</v>
      </c>
      <c r="E1062" s="307" t="s">
        <v>3536</v>
      </c>
      <c r="F1062" s="308" t="s">
        <v>3536</v>
      </c>
    </row>
    <row r="1063" spans="2:6" x14ac:dyDescent="0.2">
      <c r="B1063" s="303" t="s">
        <v>447</v>
      </c>
      <c r="C1063" s="258" t="s">
        <v>454</v>
      </c>
      <c r="D1063" s="259" t="s">
        <v>3537</v>
      </c>
      <c r="E1063" s="258" t="s">
        <v>3538</v>
      </c>
      <c r="F1063" s="304" t="s">
        <v>3538</v>
      </c>
    </row>
    <row r="1064" spans="2:6" x14ac:dyDescent="0.2">
      <c r="B1064" s="305" t="s">
        <v>447</v>
      </c>
      <c r="C1064" s="307" t="s">
        <v>1526</v>
      </c>
      <c r="D1064" s="306" t="s">
        <v>3539</v>
      </c>
      <c r="E1064" s="307" t="s">
        <v>3540</v>
      </c>
      <c r="F1064" s="308" t="s">
        <v>3540</v>
      </c>
    </row>
    <row r="1065" spans="2:6" x14ac:dyDescent="0.2">
      <c r="B1065" s="303" t="s">
        <v>447</v>
      </c>
      <c r="C1065" s="258" t="s">
        <v>475</v>
      </c>
      <c r="D1065" s="259" t="s">
        <v>3541</v>
      </c>
      <c r="E1065" s="258" t="s">
        <v>3542</v>
      </c>
      <c r="F1065" s="304" t="s">
        <v>3542</v>
      </c>
    </row>
    <row r="1066" spans="2:6" x14ac:dyDescent="0.2">
      <c r="B1066" s="305" t="s">
        <v>447</v>
      </c>
      <c r="C1066" s="307" t="s">
        <v>462</v>
      </c>
      <c r="D1066" s="306" t="s">
        <v>3543</v>
      </c>
      <c r="E1066" s="307" t="s">
        <v>3544</v>
      </c>
      <c r="F1066" s="308" t="s">
        <v>3544</v>
      </c>
    </row>
    <row r="1067" spans="2:6" x14ac:dyDescent="0.2">
      <c r="B1067" s="303" t="s">
        <v>432</v>
      </c>
      <c r="C1067" s="258" t="s">
        <v>433</v>
      </c>
      <c r="D1067" s="259" t="s">
        <v>3545</v>
      </c>
      <c r="E1067" s="258" t="s">
        <v>3546</v>
      </c>
      <c r="F1067" s="304" t="s">
        <v>3546</v>
      </c>
    </row>
    <row r="1068" spans="2:6" x14ac:dyDescent="0.2">
      <c r="B1068" s="305" t="s">
        <v>447</v>
      </c>
      <c r="C1068" s="307" t="s">
        <v>1526</v>
      </c>
      <c r="D1068" s="306" t="s">
        <v>3547</v>
      </c>
      <c r="E1068" s="307" t="s">
        <v>3548</v>
      </c>
      <c r="F1068" s="308" t="s">
        <v>3548</v>
      </c>
    </row>
    <row r="1069" spans="2:6" x14ac:dyDescent="0.2">
      <c r="B1069" s="303" t="s">
        <v>447</v>
      </c>
      <c r="C1069" s="258" t="s">
        <v>478</v>
      </c>
      <c r="D1069" s="259" t="s">
        <v>3549</v>
      </c>
      <c r="E1069" s="258" t="s">
        <v>3550</v>
      </c>
      <c r="F1069" s="304" t="s">
        <v>3550</v>
      </c>
    </row>
    <row r="1070" spans="2:6" x14ac:dyDescent="0.2">
      <c r="B1070" s="305" t="s">
        <v>447</v>
      </c>
      <c r="C1070" s="307" t="s">
        <v>1526</v>
      </c>
      <c r="D1070" s="306" t="s">
        <v>3551</v>
      </c>
      <c r="E1070" s="307" t="s">
        <v>3552</v>
      </c>
      <c r="F1070" s="308" t="s">
        <v>3552</v>
      </c>
    </row>
    <row r="1071" spans="2:6" x14ac:dyDescent="0.2">
      <c r="B1071" s="303" t="s">
        <v>447</v>
      </c>
      <c r="C1071" s="258" t="s">
        <v>459</v>
      </c>
      <c r="D1071" s="259" t="s">
        <v>3553</v>
      </c>
      <c r="E1071" s="258" t="s">
        <v>3554</v>
      </c>
      <c r="F1071" s="304" t="s">
        <v>3554</v>
      </c>
    </row>
    <row r="1072" spans="2:6" x14ac:dyDescent="0.2">
      <c r="B1072" s="305" t="s">
        <v>432</v>
      </c>
      <c r="C1072" s="307" t="s">
        <v>437</v>
      </c>
      <c r="D1072" s="306" t="s">
        <v>3555</v>
      </c>
      <c r="E1072" s="307" t="s">
        <v>3556</v>
      </c>
      <c r="F1072" s="308" t="s">
        <v>3556</v>
      </c>
    </row>
    <row r="1073" spans="2:6" x14ac:dyDescent="0.2">
      <c r="B1073" s="303" t="s">
        <v>432</v>
      </c>
      <c r="C1073" s="258" t="s">
        <v>437</v>
      </c>
      <c r="D1073" s="259" t="s">
        <v>3557</v>
      </c>
      <c r="E1073" s="258" t="s">
        <v>3558</v>
      </c>
      <c r="F1073" s="304" t="s">
        <v>3558</v>
      </c>
    </row>
    <row r="1074" spans="2:6" x14ac:dyDescent="0.2">
      <c r="B1074" s="305" t="s">
        <v>447</v>
      </c>
      <c r="C1074" s="307" t="s">
        <v>478</v>
      </c>
      <c r="D1074" s="306" t="s">
        <v>3559</v>
      </c>
      <c r="E1074" s="307" t="s">
        <v>3560</v>
      </c>
      <c r="F1074" s="308" t="s">
        <v>3561</v>
      </c>
    </row>
    <row r="1075" spans="2:6" x14ac:dyDescent="0.2">
      <c r="B1075" s="303" t="s">
        <v>447</v>
      </c>
      <c r="C1075" s="258" t="s">
        <v>478</v>
      </c>
      <c r="D1075" s="259" t="s">
        <v>3562</v>
      </c>
      <c r="E1075" s="258" t="s">
        <v>3563</v>
      </c>
      <c r="F1075" s="304" t="s">
        <v>3563</v>
      </c>
    </row>
    <row r="1076" spans="2:6" x14ac:dyDescent="0.2">
      <c r="B1076" s="305" t="s">
        <v>432</v>
      </c>
      <c r="C1076" s="307" t="s">
        <v>437</v>
      </c>
      <c r="D1076" s="306" t="s">
        <v>3564</v>
      </c>
      <c r="E1076" s="307" t="s">
        <v>3565</v>
      </c>
      <c r="F1076" s="308" t="s">
        <v>3566</v>
      </c>
    </row>
    <row r="1077" spans="2:6" x14ac:dyDescent="0.2">
      <c r="B1077" s="303" t="s">
        <v>447</v>
      </c>
      <c r="C1077" s="258" t="s">
        <v>475</v>
      </c>
      <c r="D1077" s="259" t="s">
        <v>3567</v>
      </c>
      <c r="E1077" s="258" t="s">
        <v>3568</v>
      </c>
      <c r="F1077" s="304" t="s">
        <v>3568</v>
      </c>
    </row>
    <row r="1078" spans="2:6" x14ac:dyDescent="0.2">
      <c r="B1078" s="305" t="s">
        <v>447</v>
      </c>
      <c r="C1078" s="307" t="s">
        <v>475</v>
      </c>
      <c r="D1078" s="306" t="s">
        <v>3569</v>
      </c>
      <c r="E1078" s="307" t="s">
        <v>3570</v>
      </c>
      <c r="F1078" s="308" t="s">
        <v>3570</v>
      </c>
    </row>
    <row r="1079" spans="2:6" x14ac:dyDescent="0.2">
      <c r="B1079" s="303" t="s">
        <v>447</v>
      </c>
      <c r="C1079" s="258" t="s">
        <v>478</v>
      </c>
      <c r="D1079" s="259" t="s">
        <v>3571</v>
      </c>
      <c r="E1079" s="258" t="s">
        <v>3572</v>
      </c>
      <c r="F1079" s="304" t="s">
        <v>3572</v>
      </c>
    </row>
    <row r="1080" spans="2:6" x14ac:dyDescent="0.2">
      <c r="B1080" s="305" t="s">
        <v>447</v>
      </c>
      <c r="C1080" s="307" t="s">
        <v>465</v>
      </c>
      <c r="D1080" s="306" t="s">
        <v>3573</v>
      </c>
      <c r="E1080" s="307" t="s">
        <v>3574</v>
      </c>
      <c r="F1080" s="308" t="s">
        <v>3574</v>
      </c>
    </row>
    <row r="1081" spans="2:6" x14ac:dyDescent="0.2">
      <c r="B1081" s="303" t="s">
        <v>393</v>
      </c>
      <c r="C1081" s="258" t="s">
        <v>394</v>
      </c>
      <c r="D1081" s="259" t="s">
        <v>3575</v>
      </c>
      <c r="E1081" s="258" t="s">
        <v>3576</v>
      </c>
      <c r="F1081" s="304" t="s">
        <v>3576</v>
      </c>
    </row>
    <row r="1082" spans="2:6" x14ac:dyDescent="0.2">
      <c r="B1082" s="305" t="s">
        <v>447</v>
      </c>
      <c r="C1082" s="307" t="s">
        <v>451</v>
      </c>
      <c r="D1082" s="306" t="s">
        <v>3577</v>
      </c>
      <c r="E1082" s="307" t="s">
        <v>3578</v>
      </c>
      <c r="F1082" s="308" t="s">
        <v>3578</v>
      </c>
    </row>
    <row r="1083" spans="2:6" x14ac:dyDescent="0.2">
      <c r="B1083" s="303" t="s">
        <v>447</v>
      </c>
      <c r="C1083" s="258" t="s">
        <v>1610</v>
      </c>
      <c r="D1083" s="259" t="s">
        <v>3579</v>
      </c>
      <c r="E1083" s="258" t="s">
        <v>3580</v>
      </c>
      <c r="F1083" s="304" t="s">
        <v>3580</v>
      </c>
    </row>
    <row r="1084" spans="2:6" x14ac:dyDescent="0.2">
      <c r="B1084" s="319" t="s">
        <v>447</v>
      </c>
      <c r="C1084" s="320" t="s">
        <v>454</v>
      </c>
      <c r="D1084" s="321" t="s">
        <v>3581</v>
      </c>
      <c r="E1084" s="320" t="s">
        <v>3582</v>
      </c>
      <c r="F1084" s="322" t="s">
        <v>3582</v>
      </c>
    </row>
    <row r="1085" spans="2:6" x14ac:dyDescent="0.2">
      <c r="B1085" s="232" t="s">
        <v>537</v>
      </c>
      <c r="C1085" s="232" t="s">
        <v>3583</v>
      </c>
      <c r="D1085" s="232" t="s">
        <v>3584</v>
      </c>
      <c r="E1085" s="232" t="s">
        <v>3585</v>
      </c>
      <c r="F1085" s="232" t="s">
        <v>3586</v>
      </c>
    </row>
    <row r="1086" spans="2:6" x14ac:dyDescent="0.2">
      <c r="B1086" s="232" t="s">
        <v>537</v>
      </c>
      <c r="C1086" s="232" t="s">
        <v>3587</v>
      </c>
      <c r="D1086" s="232" t="s">
        <v>3588</v>
      </c>
      <c r="E1086" s="232" t="s">
        <v>3589</v>
      </c>
      <c r="F1086" s="232" t="s">
        <v>3590</v>
      </c>
    </row>
    <row r="1087" spans="2:6" x14ac:dyDescent="0.2">
      <c r="B1087" s="232" t="s">
        <v>537</v>
      </c>
      <c r="C1087" s="232" t="s">
        <v>3591</v>
      </c>
      <c r="D1087" s="232" t="s">
        <v>3592</v>
      </c>
      <c r="E1087" s="232" t="s">
        <v>3593</v>
      </c>
      <c r="F1087" s="232" t="s">
        <v>3594</v>
      </c>
    </row>
    <row r="1088" spans="2:6" x14ac:dyDescent="0.2">
      <c r="B1088" s="232" t="s">
        <v>537</v>
      </c>
      <c r="C1088" s="232" t="s">
        <v>3595</v>
      </c>
      <c r="D1088" s="232" t="s">
        <v>3596</v>
      </c>
      <c r="E1088" s="232" t="s">
        <v>3597</v>
      </c>
      <c r="F1088" s="232" t="s">
        <v>3598</v>
      </c>
    </row>
    <row r="1089" spans="2:6" x14ac:dyDescent="0.2">
      <c r="B1089" s="232" t="s">
        <v>537</v>
      </c>
      <c r="C1089" s="232" t="s">
        <v>3599</v>
      </c>
      <c r="D1089" s="232" t="s">
        <v>3600</v>
      </c>
      <c r="E1089" s="232" t="s">
        <v>3601</v>
      </c>
      <c r="F1089" s="232" t="s">
        <v>3602</v>
      </c>
    </row>
    <row r="1090" spans="2:6" x14ac:dyDescent="0.2">
      <c r="B1090" s="232" t="s">
        <v>537</v>
      </c>
      <c r="C1090" s="232" t="s">
        <v>3587</v>
      </c>
      <c r="D1090" s="232" t="s">
        <v>3603</v>
      </c>
      <c r="E1090" s="232" t="s">
        <v>3604</v>
      </c>
      <c r="F1090" s="232" t="s">
        <v>3605</v>
      </c>
    </row>
    <row r="1091" spans="2:6" x14ac:dyDescent="0.2">
      <c r="B1091" s="232" t="s">
        <v>537</v>
      </c>
      <c r="C1091" s="232" t="s">
        <v>3606</v>
      </c>
      <c r="D1091" s="232" t="s">
        <v>3607</v>
      </c>
      <c r="E1091" s="232" t="s">
        <v>3608</v>
      </c>
      <c r="F1091" s="232" t="s">
        <v>3609</v>
      </c>
    </row>
    <row r="1092" spans="2:6" x14ac:dyDescent="0.2">
      <c r="B1092" s="232" t="s">
        <v>537</v>
      </c>
      <c r="C1092" s="232" t="s">
        <v>3591</v>
      </c>
      <c r="D1092" s="232" t="s">
        <v>3610</v>
      </c>
      <c r="E1092" s="232" t="s">
        <v>3611</v>
      </c>
      <c r="F1092" s="232" t="s">
        <v>3612</v>
      </c>
    </row>
    <row r="1093" spans="2:6" x14ac:dyDescent="0.2">
      <c r="B1093" s="232" t="s">
        <v>537</v>
      </c>
      <c r="C1093" s="232" t="s">
        <v>3613</v>
      </c>
      <c r="D1093" s="232" t="s">
        <v>3614</v>
      </c>
      <c r="E1093" s="232" t="s">
        <v>3615</v>
      </c>
      <c r="F1093" s="232" t="s">
        <v>3616</v>
      </c>
    </row>
    <row r="1094" spans="2:6" x14ac:dyDescent="0.2">
      <c r="B1094" s="232" t="s">
        <v>537</v>
      </c>
      <c r="C1094" s="232" t="s">
        <v>3617</v>
      </c>
      <c r="D1094" s="232" t="s">
        <v>3618</v>
      </c>
      <c r="E1094" s="232" t="s">
        <v>3619</v>
      </c>
      <c r="F1094" s="232" t="s">
        <v>3620</v>
      </c>
    </row>
    <row r="1095" spans="2:6" x14ac:dyDescent="0.2">
      <c r="B1095" s="232" t="s">
        <v>537</v>
      </c>
      <c r="C1095" s="232" t="s">
        <v>3621</v>
      </c>
      <c r="D1095" s="232" t="s">
        <v>3622</v>
      </c>
      <c r="E1095" s="232" t="s">
        <v>3623</v>
      </c>
      <c r="F1095" s="232" t="s">
        <v>3624</v>
      </c>
    </row>
    <row r="1096" spans="2:6" x14ac:dyDescent="0.2">
      <c r="B1096" s="232" t="s">
        <v>537</v>
      </c>
      <c r="C1096" s="232" t="s">
        <v>3587</v>
      </c>
      <c r="D1096" s="232" t="s">
        <v>3625</v>
      </c>
      <c r="E1096" s="232" t="s">
        <v>3626</v>
      </c>
      <c r="F1096" s="232" t="s">
        <v>3627</v>
      </c>
    </row>
    <row r="1097" spans="2:6" x14ac:dyDescent="0.2">
      <c r="B1097" s="232" t="s">
        <v>537</v>
      </c>
      <c r="C1097" s="232" t="s">
        <v>3583</v>
      </c>
      <c r="D1097" s="232" t="s">
        <v>3628</v>
      </c>
      <c r="E1097" s="232" t="s">
        <v>3629</v>
      </c>
      <c r="F1097" s="232" t="s">
        <v>3630</v>
      </c>
    </row>
    <row r="1098" spans="2:6" x14ac:dyDescent="0.2">
      <c r="B1098" s="232" t="s">
        <v>537</v>
      </c>
      <c r="C1098" s="232" t="s">
        <v>3631</v>
      </c>
      <c r="D1098" s="232" t="s">
        <v>3632</v>
      </c>
      <c r="E1098" s="232" t="s">
        <v>3633</v>
      </c>
      <c r="F1098" s="232" t="s">
        <v>3634</v>
      </c>
    </row>
    <row r="1099" spans="2:6" x14ac:dyDescent="0.2">
      <c r="B1099" s="232" t="s">
        <v>537</v>
      </c>
      <c r="C1099" s="232" t="s">
        <v>3591</v>
      </c>
      <c r="D1099" s="232" t="s">
        <v>3635</v>
      </c>
      <c r="E1099" s="232" t="s">
        <v>3636</v>
      </c>
      <c r="F1099" s="232" t="s">
        <v>3637</v>
      </c>
    </row>
    <row r="1100" spans="2:6" x14ac:dyDescent="0.2">
      <c r="B1100" s="232" t="s">
        <v>537</v>
      </c>
      <c r="C1100" s="232" t="s">
        <v>3631</v>
      </c>
      <c r="D1100" s="232" t="s">
        <v>3638</v>
      </c>
      <c r="E1100" s="232" t="s">
        <v>3639</v>
      </c>
      <c r="F1100" s="232" t="s">
        <v>3640</v>
      </c>
    </row>
    <row r="1101" spans="2:6" x14ac:dyDescent="0.2">
      <c r="B1101" s="232" t="s">
        <v>537</v>
      </c>
      <c r="C1101" s="232" t="s">
        <v>3641</v>
      </c>
      <c r="D1101" s="232" t="s">
        <v>3642</v>
      </c>
      <c r="E1101" s="232" t="s">
        <v>3643</v>
      </c>
      <c r="F1101" s="232" t="s">
        <v>3644</v>
      </c>
    </row>
    <row r="1102" spans="2:6" x14ac:dyDescent="0.2">
      <c r="B1102" s="232" t="s">
        <v>537</v>
      </c>
      <c r="C1102" s="232" t="s">
        <v>3645</v>
      </c>
      <c r="D1102" s="232" t="s">
        <v>3646</v>
      </c>
      <c r="E1102" s="232" t="s">
        <v>3647</v>
      </c>
      <c r="F1102" s="232" t="s">
        <v>3648</v>
      </c>
    </row>
    <row r="1103" spans="2:6" x14ac:dyDescent="0.2">
      <c r="B1103" s="232" t="s">
        <v>537</v>
      </c>
      <c r="C1103" s="232" t="s">
        <v>3587</v>
      </c>
      <c r="D1103" s="232" t="s">
        <v>3649</v>
      </c>
      <c r="E1103" s="232" t="s">
        <v>3650</v>
      </c>
      <c r="F1103" s="232" t="s">
        <v>3651</v>
      </c>
    </row>
    <row r="1104" spans="2:6" x14ac:dyDescent="0.2">
      <c r="B1104" s="232" t="s">
        <v>537</v>
      </c>
      <c r="C1104" s="232" t="s">
        <v>3599</v>
      </c>
      <c r="D1104" s="232" t="s">
        <v>3652</v>
      </c>
      <c r="E1104" s="232" t="s">
        <v>3653</v>
      </c>
      <c r="F1104" s="232" t="s">
        <v>3654</v>
      </c>
    </row>
    <row r="1105" spans="2:6" x14ac:dyDescent="0.2">
      <c r="B1105" s="232" t="s">
        <v>537</v>
      </c>
      <c r="C1105" s="232" t="s">
        <v>3621</v>
      </c>
      <c r="D1105" s="232" t="s">
        <v>3655</v>
      </c>
      <c r="E1105" s="232" t="s">
        <v>3656</v>
      </c>
      <c r="F1105" s="232" t="s">
        <v>3657</v>
      </c>
    </row>
    <row r="1106" spans="2:6" x14ac:dyDescent="0.2">
      <c r="B1106" s="232" t="s">
        <v>537</v>
      </c>
      <c r="C1106" s="232" t="s">
        <v>3583</v>
      </c>
      <c r="D1106" s="232" t="s">
        <v>3658</v>
      </c>
      <c r="E1106" s="232" t="s">
        <v>3659</v>
      </c>
      <c r="F1106" s="232" t="s">
        <v>3660</v>
      </c>
    </row>
    <row r="1107" spans="2:6" x14ac:dyDescent="0.2">
      <c r="B1107" s="232" t="s">
        <v>537</v>
      </c>
      <c r="C1107" s="232" t="s">
        <v>3587</v>
      </c>
      <c r="D1107" s="232" t="s">
        <v>3661</v>
      </c>
      <c r="E1107" s="232" t="s">
        <v>3662</v>
      </c>
      <c r="F1107" s="232" t="s">
        <v>3663</v>
      </c>
    </row>
    <row r="1108" spans="2:6" x14ac:dyDescent="0.2">
      <c r="B1108" s="232" t="s">
        <v>537</v>
      </c>
      <c r="C1108" s="232" t="s">
        <v>3595</v>
      </c>
      <c r="D1108" s="232" t="s">
        <v>3664</v>
      </c>
      <c r="E1108" s="232" t="s">
        <v>3665</v>
      </c>
      <c r="F1108" s="232" t="s">
        <v>3666</v>
      </c>
    </row>
    <row r="1109" spans="2:6" x14ac:dyDescent="0.2">
      <c r="B1109" s="232" t="s">
        <v>537</v>
      </c>
      <c r="C1109" s="232" t="s">
        <v>3587</v>
      </c>
      <c r="D1109" s="232" t="s">
        <v>3667</v>
      </c>
      <c r="E1109" s="232" t="s">
        <v>3668</v>
      </c>
      <c r="F1109" s="232" t="s">
        <v>3669</v>
      </c>
    </row>
    <row r="1110" spans="2:6" x14ac:dyDescent="0.2">
      <c r="B1110" s="232" t="s">
        <v>537</v>
      </c>
      <c r="C1110" s="232" t="s">
        <v>3617</v>
      </c>
      <c r="D1110" s="232" t="s">
        <v>3670</v>
      </c>
      <c r="E1110" s="232" t="s">
        <v>3671</v>
      </c>
      <c r="F1110" s="232" t="s">
        <v>3672</v>
      </c>
    </row>
    <row r="1111" spans="2:6" x14ac:dyDescent="0.2">
      <c r="B1111" s="232" t="s">
        <v>537</v>
      </c>
      <c r="C1111" s="232" t="s">
        <v>3673</v>
      </c>
      <c r="D1111" s="232" t="s">
        <v>3674</v>
      </c>
      <c r="E1111" s="232" t="s">
        <v>3675</v>
      </c>
      <c r="F1111" s="232" t="s">
        <v>3676</v>
      </c>
    </row>
    <row r="1112" spans="2:6" x14ac:dyDescent="0.2">
      <c r="B1112" s="232" t="s">
        <v>537</v>
      </c>
      <c r="C1112" s="232" t="s">
        <v>3677</v>
      </c>
      <c r="D1112" s="232" t="s">
        <v>3678</v>
      </c>
      <c r="E1112" s="232" t="s">
        <v>3679</v>
      </c>
      <c r="F1112" s="232" t="s">
        <v>3680</v>
      </c>
    </row>
    <row r="1113" spans="2:6" x14ac:dyDescent="0.2">
      <c r="B1113" s="232" t="s">
        <v>537</v>
      </c>
      <c r="C1113" s="232" t="s">
        <v>3681</v>
      </c>
      <c r="D1113" s="232" t="s">
        <v>3682</v>
      </c>
      <c r="E1113" s="232" t="s">
        <v>3683</v>
      </c>
      <c r="F1113" s="232" t="s">
        <v>3684</v>
      </c>
    </row>
    <row r="1114" spans="2:6" x14ac:dyDescent="0.2">
      <c r="B1114" s="232" t="s">
        <v>537</v>
      </c>
      <c r="C1114" s="232" t="s">
        <v>3685</v>
      </c>
      <c r="D1114" s="232" t="s">
        <v>3686</v>
      </c>
      <c r="E1114" s="232" t="s">
        <v>3687</v>
      </c>
      <c r="F1114" s="232" t="s">
        <v>3688</v>
      </c>
    </row>
    <row r="1115" spans="2:6" x14ac:dyDescent="0.2">
      <c r="B1115" s="232" t="s">
        <v>537</v>
      </c>
      <c r="C1115" s="232" t="s">
        <v>3587</v>
      </c>
      <c r="D1115" s="232" t="s">
        <v>3689</v>
      </c>
      <c r="E1115" s="232" t="s">
        <v>3690</v>
      </c>
      <c r="F1115" s="232" t="s">
        <v>3691</v>
      </c>
    </row>
    <row r="1116" spans="2:6" x14ac:dyDescent="0.2">
      <c r="B1116" s="232" t="s">
        <v>537</v>
      </c>
      <c r="C1116" s="232" t="s">
        <v>3617</v>
      </c>
      <c r="D1116" s="232" t="s">
        <v>3692</v>
      </c>
      <c r="E1116" s="232" t="s">
        <v>3693</v>
      </c>
      <c r="F1116" s="232" t="s">
        <v>3694</v>
      </c>
    </row>
    <row r="1117" spans="2:6" x14ac:dyDescent="0.2">
      <c r="B1117" s="232" t="s">
        <v>537</v>
      </c>
      <c r="C1117" s="232" t="s">
        <v>3631</v>
      </c>
      <c r="D1117" s="232" t="s">
        <v>3695</v>
      </c>
      <c r="E1117" s="232" t="s">
        <v>3696</v>
      </c>
      <c r="F1117" s="232" t="s">
        <v>3697</v>
      </c>
    </row>
    <row r="1118" spans="2:6" x14ac:dyDescent="0.2">
      <c r="B1118" s="232" t="s">
        <v>537</v>
      </c>
      <c r="C1118" s="232" t="s">
        <v>3587</v>
      </c>
      <c r="D1118" s="232" t="s">
        <v>3698</v>
      </c>
      <c r="E1118" s="232" t="s">
        <v>3699</v>
      </c>
      <c r="F1118" s="232" t="s">
        <v>3700</v>
      </c>
    </row>
    <row r="1119" spans="2:6" x14ac:dyDescent="0.2">
      <c r="B1119" s="232" t="s">
        <v>537</v>
      </c>
      <c r="C1119" s="232" t="s">
        <v>3583</v>
      </c>
      <c r="D1119" s="232" t="s">
        <v>3701</v>
      </c>
      <c r="E1119" s="232" t="s">
        <v>3702</v>
      </c>
      <c r="F1119" s="232" t="s">
        <v>3703</v>
      </c>
    </row>
    <row r="1120" spans="2:6" x14ac:dyDescent="0.2">
      <c r="B1120" s="232" t="s">
        <v>537</v>
      </c>
      <c r="C1120" s="232" t="s">
        <v>3587</v>
      </c>
      <c r="D1120" s="232" t="s">
        <v>3704</v>
      </c>
      <c r="E1120" s="232" t="s">
        <v>3705</v>
      </c>
      <c r="F1120" s="232" t="s">
        <v>3706</v>
      </c>
    </row>
    <row r="1121" spans="2:6" x14ac:dyDescent="0.2">
      <c r="B1121" s="232" t="s">
        <v>537</v>
      </c>
      <c r="C1121" s="232" t="s">
        <v>3631</v>
      </c>
      <c r="D1121" s="232" t="s">
        <v>3707</v>
      </c>
      <c r="E1121" s="232" t="s">
        <v>3708</v>
      </c>
      <c r="F1121" s="232" t="s">
        <v>3709</v>
      </c>
    </row>
    <row r="1122" spans="2:6" x14ac:dyDescent="0.2">
      <c r="B1122" s="232" t="s">
        <v>537</v>
      </c>
      <c r="C1122" s="232" t="s">
        <v>3631</v>
      </c>
      <c r="D1122" s="232" t="s">
        <v>3710</v>
      </c>
      <c r="E1122" s="232" t="s">
        <v>3711</v>
      </c>
      <c r="F1122" s="232" t="s">
        <v>3712</v>
      </c>
    </row>
    <row r="1123" spans="2:6" x14ac:dyDescent="0.2">
      <c r="B1123" s="232" t="s">
        <v>537</v>
      </c>
      <c r="C1123" s="232" t="s">
        <v>3621</v>
      </c>
      <c r="D1123" s="232" t="s">
        <v>3713</v>
      </c>
      <c r="E1123" s="232" t="s">
        <v>3714</v>
      </c>
      <c r="F1123" s="232" t="s">
        <v>3715</v>
      </c>
    </row>
    <row r="1124" spans="2:6" x14ac:dyDescent="0.2">
      <c r="B1124" s="232" t="s">
        <v>537</v>
      </c>
      <c r="C1124" s="232" t="s">
        <v>3583</v>
      </c>
      <c r="D1124" s="232" t="s">
        <v>3716</v>
      </c>
      <c r="E1124" s="232" t="s">
        <v>3717</v>
      </c>
      <c r="F1124" s="232" t="s">
        <v>3718</v>
      </c>
    </row>
    <row r="1125" spans="2:6" x14ac:dyDescent="0.2">
      <c r="B1125" s="232" t="s">
        <v>537</v>
      </c>
      <c r="C1125" s="232" t="s">
        <v>3583</v>
      </c>
      <c r="D1125" s="232" t="s">
        <v>3719</v>
      </c>
      <c r="E1125" s="232" t="s">
        <v>3720</v>
      </c>
      <c r="F1125" s="232" t="s">
        <v>3721</v>
      </c>
    </row>
    <row r="1126" spans="2:6" x14ac:dyDescent="0.2">
      <c r="B1126" s="232" t="s">
        <v>537</v>
      </c>
      <c r="C1126" s="232" t="s">
        <v>3722</v>
      </c>
      <c r="D1126" s="232" t="s">
        <v>3723</v>
      </c>
      <c r="E1126" s="232" t="s">
        <v>3724</v>
      </c>
      <c r="F1126" s="232" t="s">
        <v>3725</v>
      </c>
    </row>
    <row r="1127" spans="2:6" x14ac:dyDescent="0.2">
      <c r="B1127" s="232" t="s">
        <v>537</v>
      </c>
      <c r="C1127" s="232" t="s">
        <v>3617</v>
      </c>
      <c r="D1127" s="232" t="s">
        <v>3726</v>
      </c>
      <c r="E1127" s="232" t="s">
        <v>3727</v>
      </c>
      <c r="F1127" s="232" t="s">
        <v>3728</v>
      </c>
    </row>
    <row r="1128" spans="2:6" x14ac:dyDescent="0.2">
      <c r="B1128" s="232" t="s">
        <v>537</v>
      </c>
      <c r="C1128" s="232" t="s">
        <v>3591</v>
      </c>
      <c r="D1128" s="232" t="s">
        <v>3729</v>
      </c>
      <c r="E1128" s="232" t="s">
        <v>3730</v>
      </c>
      <c r="F1128" s="232" t="s">
        <v>3731</v>
      </c>
    </row>
    <row r="1129" spans="2:6" x14ac:dyDescent="0.2">
      <c r="B1129" s="232" t="s">
        <v>537</v>
      </c>
      <c r="C1129" s="232" t="s">
        <v>3599</v>
      </c>
      <c r="D1129" s="232" t="s">
        <v>3732</v>
      </c>
      <c r="E1129" s="232" t="s">
        <v>3733</v>
      </c>
      <c r="F1129" s="232" t="s">
        <v>3734</v>
      </c>
    </row>
    <row r="1130" spans="2:6" x14ac:dyDescent="0.2">
      <c r="B1130" s="232" t="s">
        <v>537</v>
      </c>
      <c r="C1130" s="232" t="s">
        <v>3583</v>
      </c>
      <c r="D1130" s="232" t="s">
        <v>3735</v>
      </c>
      <c r="E1130" s="232" t="s">
        <v>3736</v>
      </c>
      <c r="F1130" s="232" t="s">
        <v>3737</v>
      </c>
    </row>
    <row r="1131" spans="2:6" x14ac:dyDescent="0.2">
      <c r="B1131" s="232" t="s">
        <v>537</v>
      </c>
      <c r="C1131" s="232" t="s">
        <v>3613</v>
      </c>
      <c r="D1131" s="232" t="s">
        <v>3738</v>
      </c>
      <c r="E1131" s="232" t="s">
        <v>3739</v>
      </c>
      <c r="F1131" s="232" t="s">
        <v>3740</v>
      </c>
    </row>
    <row r="1132" spans="2:6" x14ac:dyDescent="0.2">
      <c r="B1132" s="232" t="s">
        <v>537</v>
      </c>
      <c r="C1132" s="232" t="s">
        <v>3645</v>
      </c>
      <c r="D1132" s="232" t="s">
        <v>3741</v>
      </c>
      <c r="E1132" s="232" t="s">
        <v>3742</v>
      </c>
      <c r="F1132" s="232" t="s">
        <v>3743</v>
      </c>
    </row>
    <row r="1133" spans="2:6" x14ac:dyDescent="0.2">
      <c r="B1133" s="232" t="s">
        <v>537</v>
      </c>
      <c r="C1133" s="232" t="s">
        <v>3645</v>
      </c>
      <c r="D1133" s="232" t="s">
        <v>3744</v>
      </c>
      <c r="E1133" s="232" t="s">
        <v>3745</v>
      </c>
      <c r="F1133" s="232" t="s">
        <v>3746</v>
      </c>
    </row>
    <row r="1134" spans="2:6" x14ac:dyDescent="0.2">
      <c r="B1134" s="232" t="s">
        <v>537</v>
      </c>
      <c r="C1134" s="232" t="s">
        <v>3631</v>
      </c>
      <c r="D1134" s="232" t="s">
        <v>3747</v>
      </c>
      <c r="E1134" s="232" t="s">
        <v>3748</v>
      </c>
      <c r="F1134" s="232" t="s">
        <v>3749</v>
      </c>
    </row>
    <row r="1135" spans="2:6" x14ac:dyDescent="0.2">
      <c r="B1135" s="232" t="s">
        <v>537</v>
      </c>
      <c r="C1135" s="232" t="s">
        <v>3583</v>
      </c>
      <c r="D1135" s="232" t="s">
        <v>3750</v>
      </c>
      <c r="E1135" s="232" t="s">
        <v>3751</v>
      </c>
      <c r="F1135" s="232" t="s">
        <v>3752</v>
      </c>
    </row>
    <row r="1136" spans="2:6" x14ac:dyDescent="0.2">
      <c r="B1136" s="232" t="s">
        <v>537</v>
      </c>
      <c r="C1136" s="232" t="s">
        <v>3673</v>
      </c>
      <c r="D1136" s="232" t="s">
        <v>3753</v>
      </c>
      <c r="E1136" s="232" t="s">
        <v>3754</v>
      </c>
      <c r="F1136" s="232" t="s">
        <v>3755</v>
      </c>
    </row>
    <row r="1137" spans="2:6" x14ac:dyDescent="0.2">
      <c r="B1137" s="232" t="s">
        <v>537</v>
      </c>
      <c r="C1137" s="232" t="s">
        <v>3583</v>
      </c>
      <c r="D1137" s="232" t="s">
        <v>3756</v>
      </c>
      <c r="E1137" s="232" t="s">
        <v>3757</v>
      </c>
      <c r="F1137" s="232" t="s">
        <v>3758</v>
      </c>
    </row>
    <row r="1138" spans="2:6" x14ac:dyDescent="0.2">
      <c r="B1138" s="232" t="s">
        <v>537</v>
      </c>
      <c r="C1138" s="232" t="s">
        <v>3645</v>
      </c>
      <c r="D1138" s="232" t="s">
        <v>3759</v>
      </c>
      <c r="E1138" s="232" t="s">
        <v>3760</v>
      </c>
      <c r="F1138" s="232" t="s">
        <v>3761</v>
      </c>
    </row>
  </sheetData>
  <sheetProtection algorithmName="SHA-512" hashValue="YruyXsHUSgwMmS3ptVjwdDz3gFzRGg1KK+d9fvI8CWoktqpQN6eZ+9YnCUHoraFiHcstMZum2tcgaVWcocj9MA==" saltValue="MWf2AckAd9EFNalZeeUd4w==" spinCount="100000" sheet="1" objects="1" scenarios="1"/>
  <mergeCells count="2">
    <mergeCell ref="B2:F2"/>
    <mergeCell ref="B4:E4"/>
  </mergeCells>
  <pageMargins left="0.19685039370078741" right="0.19685039370078741" top="0.19685039370078741" bottom="0.19685039370078741" header="0" footer="0"/>
  <pageSetup paperSize="9" scale="96" orientation="landscape" r:id="rId1"/>
  <headerFooter>
    <oddHeader>&amp;L&amp;"Aptos"&amp;10&amp;K008000 Classificação: Pública&amp;1#_x000D_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3C3FD-A1B5-4709-AE28-C5D42FFEA7E7}">
  <sheetPr codeName="Planilha9">
    <tabColor rgb="FFFFC000"/>
  </sheetPr>
  <dimension ref="B2:D845"/>
  <sheetViews>
    <sheetView showGridLines="0" showRowColHeaders="0" tabSelected="1" topLeftCell="A16" zoomScaleNormal="100" zoomScaleSheetLayoutView="90" workbookViewId="0">
      <selection sqref="A1:AP1"/>
    </sheetView>
  </sheetViews>
  <sheetFormatPr defaultColWidth="9.140625" defaultRowHeight="12.75" x14ac:dyDescent="0.2"/>
  <cols>
    <col min="1" max="1" width="1.7109375" style="167" customWidth="1"/>
    <col min="2" max="2" width="9.7109375" style="167" customWidth="1"/>
    <col min="3" max="3" width="15.85546875" style="167" customWidth="1"/>
    <col min="4" max="4" width="98.28515625" style="167" bestFit="1" customWidth="1"/>
    <col min="5" max="16384" width="9.140625" style="167"/>
  </cols>
  <sheetData>
    <row r="2" spans="2:4" ht="25.5" customHeight="1" x14ac:dyDescent="0.2">
      <c r="B2" s="513" t="s">
        <v>3762</v>
      </c>
      <c r="C2" s="513"/>
      <c r="D2" s="513"/>
    </row>
    <row r="3" spans="2:4" s="211" customFormat="1" ht="2.25" customHeight="1" x14ac:dyDescent="0.25">
      <c r="B3" s="323"/>
      <c r="C3" s="218"/>
      <c r="D3" s="324"/>
    </row>
    <row r="4" spans="2:4" ht="18.75" customHeight="1" x14ac:dyDescent="0.2">
      <c r="B4" s="514" t="s">
        <v>3763</v>
      </c>
      <c r="C4" s="514"/>
      <c r="D4" s="514"/>
    </row>
    <row r="5" spans="2:4" ht="3.95" customHeight="1" x14ac:dyDescent="0.25">
      <c r="B5" s="217"/>
      <c r="C5" s="218"/>
      <c r="D5" s="219"/>
    </row>
    <row r="6" spans="2:4" ht="15" x14ac:dyDescent="0.25">
      <c r="B6" s="220" t="s">
        <v>110</v>
      </c>
      <c r="C6" s="221" t="s">
        <v>111</v>
      </c>
      <c r="D6" s="325" t="s">
        <v>112</v>
      </c>
    </row>
    <row r="7" spans="2:4" ht="15" x14ac:dyDescent="0.25">
      <c r="B7" s="223">
        <v>1</v>
      </c>
      <c r="C7" s="224" t="s">
        <v>3764</v>
      </c>
      <c r="D7" s="225" t="s">
        <v>3765</v>
      </c>
    </row>
    <row r="8" spans="2:4" ht="15" x14ac:dyDescent="0.25">
      <c r="B8" s="226">
        <v>2</v>
      </c>
      <c r="C8" s="227" t="s">
        <v>3766</v>
      </c>
      <c r="D8" s="228" t="s">
        <v>3767</v>
      </c>
    </row>
    <row r="9" spans="2:4" ht="15" x14ac:dyDescent="0.25">
      <c r="B9" s="223">
        <v>3</v>
      </c>
      <c r="C9" s="224" t="s">
        <v>3768</v>
      </c>
      <c r="D9" s="225" t="s">
        <v>3769</v>
      </c>
    </row>
    <row r="10" spans="2:4" ht="15" x14ac:dyDescent="0.25">
      <c r="B10" s="226">
        <v>4</v>
      </c>
      <c r="C10" s="227" t="s">
        <v>3770</v>
      </c>
      <c r="D10" s="228" t="s">
        <v>3771</v>
      </c>
    </row>
    <row r="11" spans="2:4" ht="15" x14ac:dyDescent="0.25">
      <c r="B11" s="223">
        <v>5</v>
      </c>
      <c r="C11" s="224" t="s">
        <v>3772</v>
      </c>
      <c r="D11" s="225" t="s">
        <v>3773</v>
      </c>
    </row>
    <row r="12" spans="2:4" ht="15" x14ac:dyDescent="0.25">
      <c r="B12" s="226">
        <v>6</v>
      </c>
      <c r="C12" s="227" t="s">
        <v>3774</v>
      </c>
      <c r="D12" s="228" t="s">
        <v>3775</v>
      </c>
    </row>
    <row r="13" spans="2:4" ht="15" x14ac:dyDescent="0.25">
      <c r="B13" s="223">
        <v>7</v>
      </c>
      <c r="C13" s="224" t="s">
        <v>3776</v>
      </c>
      <c r="D13" s="225" t="s">
        <v>3777</v>
      </c>
    </row>
    <row r="14" spans="2:4" ht="15" x14ac:dyDescent="0.25">
      <c r="B14" s="226">
        <v>8</v>
      </c>
      <c r="C14" s="227" t="s">
        <v>129</v>
      </c>
      <c r="D14" s="228" t="s">
        <v>3778</v>
      </c>
    </row>
    <row r="15" spans="2:4" ht="15" x14ac:dyDescent="0.25">
      <c r="B15" s="223">
        <v>9</v>
      </c>
      <c r="C15" s="224" t="s">
        <v>3779</v>
      </c>
      <c r="D15" s="225" t="s">
        <v>3780</v>
      </c>
    </row>
    <row r="16" spans="2:4" ht="15" x14ac:dyDescent="0.25">
      <c r="B16" s="226">
        <v>10</v>
      </c>
      <c r="C16" s="227" t="s">
        <v>3781</v>
      </c>
      <c r="D16" s="228" t="s">
        <v>3782</v>
      </c>
    </row>
    <row r="17" spans="2:4" ht="15" x14ac:dyDescent="0.25">
      <c r="B17" s="223">
        <v>11</v>
      </c>
      <c r="C17" s="224" t="s">
        <v>3783</v>
      </c>
      <c r="D17" s="225" t="s">
        <v>3784</v>
      </c>
    </row>
    <row r="18" spans="2:4" ht="15" x14ac:dyDescent="0.25">
      <c r="B18" s="226">
        <v>12</v>
      </c>
      <c r="C18" s="227" t="s">
        <v>3785</v>
      </c>
      <c r="D18" s="228" t="s">
        <v>3786</v>
      </c>
    </row>
    <row r="19" spans="2:4" ht="15" x14ac:dyDescent="0.25">
      <c r="B19" s="223">
        <v>13</v>
      </c>
      <c r="C19" s="224" t="s">
        <v>3787</v>
      </c>
      <c r="D19" s="225" t="s">
        <v>3788</v>
      </c>
    </row>
    <row r="20" spans="2:4" ht="15" x14ac:dyDescent="0.25">
      <c r="B20" s="226">
        <v>14</v>
      </c>
      <c r="C20" s="227" t="s">
        <v>3789</v>
      </c>
      <c r="D20" s="228" t="s">
        <v>3790</v>
      </c>
    </row>
    <row r="21" spans="2:4" ht="15" x14ac:dyDescent="0.25">
      <c r="B21" s="223">
        <v>15</v>
      </c>
      <c r="C21" s="224" t="s">
        <v>3791</v>
      </c>
      <c r="D21" s="225" t="s">
        <v>3792</v>
      </c>
    </row>
    <row r="22" spans="2:4" ht="15" x14ac:dyDescent="0.25">
      <c r="B22" s="226">
        <v>16</v>
      </c>
      <c r="C22" s="227" t="s">
        <v>3793</v>
      </c>
      <c r="D22" s="228" t="s">
        <v>3794</v>
      </c>
    </row>
    <row r="23" spans="2:4" ht="15" x14ac:dyDescent="0.25">
      <c r="B23" s="223">
        <v>17</v>
      </c>
      <c r="C23" s="224" t="s">
        <v>3795</v>
      </c>
      <c r="D23" s="225" t="s">
        <v>3796</v>
      </c>
    </row>
    <row r="24" spans="2:4" ht="15" x14ac:dyDescent="0.25">
      <c r="B24" s="226">
        <v>18</v>
      </c>
      <c r="C24" s="227" t="s">
        <v>3797</v>
      </c>
      <c r="D24" s="228" t="s">
        <v>3798</v>
      </c>
    </row>
    <row r="25" spans="2:4" ht="15" x14ac:dyDescent="0.25">
      <c r="B25" s="223">
        <v>19</v>
      </c>
      <c r="C25" s="224" t="s">
        <v>3799</v>
      </c>
      <c r="D25" s="225" t="s">
        <v>3800</v>
      </c>
    </row>
    <row r="26" spans="2:4" ht="15" x14ac:dyDescent="0.25">
      <c r="B26" s="226">
        <v>20</v>
      </c>
      <c r="C26" s="227" t="s">
        <v>3801</v>
      </c>
      <c r="D26" s="228" t="s">
        <v>3802</v>
      </c>
    </row>
    <row r="27" spans="2:4" ht="15" x14ac:dyDescent="0.25">
      <c r="B27" s="223">
        <v>21</v>
      </c>
      <c r="C27" s="224" t="s">
        <v>3803</v>
      </c>
      <c r="D27" s="225" t="s">
        <v>3804</v>
      </c>
    </row>
    <row r="28" spans="2:4" ht="15" x14ac:dyDescent="0.25">
      <c r="B28" s="226">
        <v>22</v>
      </c>
      <c r="C28" s="227" t="s">
        <v>3805</v>
      </c>
      <c r="D28" s="228" t="s">
        <v>3806</v>
      </c>
    </row>
    <row r="29" spans="2:4" ht="15" x14ac:dyDescent="0.25">
      <c r="B29" s="223">
        <v>23</v>
      </c>
      <c r="C29" s="224" t="s">
        <v>3807</v>
      </c>
      <c r="D29" s="225" t="s">
        <v>3808</v>
      </c>
    </row>
    <row r="30" spans="2:4" ht="15" x14ac:dyDescent="0.25">
      <c r="B30" s="226">
        <v>24</v>
      </c>
      <c r="C30" s="227" t="s">
        <v>3809</v>
      </c>
      <c r="D30" s="228" t="s">
        <v>3810</v>
      </c>
    </row>
    <row r="31" spans="2:4" ht="15" x14ac:dyDescent="0.25">
      <c r="B31" s="223">
        <v>25</v>
      </c>
      <c r="C31" s="224" t="s">
        <v>181</v>
      </c>
      <c r="D31" s="225" t="s">
        <v>3811</v>
      </c>
    </row>
    <row r="32" spans="2:4" ht="15" x14ac:dyDescent="0.25">
      <c r="B32" s="226">
        <v>26</v>
      </c>
      <c r="C32" s="227" t="s">
        <v>3812</v>
      </c>
      <c r="D32" s="228" t="s">
        <v>3813</v>
      </c>
    </row>
    <row r="33" spans="2:4" ht="15" x14ac:dyDescent="0.25">
      <c r="B33" s="223">
        <v>27</v>
      </c>
      <c r="C33" s="224" t="s">
        <v>3814</v>
      </c>
      <c r="D33" s="225" t="s">
        <v>3815</v>
      </c>
    </row>
    <row r="34" spans="2:4" ht="15" x14ac:dyDescent="0.25">
      <c r="B34" s="226">
        <v>28</v>
      </c>
      <c r="C34" s="227" t="s">
        <v>3816</v>
      </c>
      <c r="D34" s="228" t="s">
        <v>3817</v>
      </c>
    </row>
    <row r="35" spans="2:4" ht="15" x14ac:dyDescent="0.25">
      <c r="B35" s="223">
        <v>29</v>
      </c>
      <c r="C35" s="224" t="s">
        <v>3818</v>
      </c>
      <c r="D35" s="225" t="s">
        <v>3819</v>
      </c>
    </row>
    <row r="36" spans="2:4" ht="15" x14ac:dyDescent="0.25">
      <c r="B36" s="226">
        <v>30</v>
      </c>
      <c r="C36" s="227" t="s">
        <v>3820</v>
      </c>
      <c r="D36" s="228" t="s">
        <v>3821</v>
      </c>
    </row>
    <row r="37" spans="2:4" ht="15" x14ac:dyDescent="0.25">
      <c r="B37" s="223">
        <v>31</v>
      </c>
      <c r="C37" s="224" t="s">
        <v>3822</v>
      </c>
      <c r="D37" s="225" t="s">
        <v>3823</v>
      </c>
    </row>
    <row r="38" spans="2:4" ht="15" x14ac:dyDescent="0.25">
      <c r="B38" s="226">
        <v>32</v>
      </c>
      <c r="C38" s="227" t="s">
        <v>3824</v>
      </c>
      <c r="D38" s="228" t="s">
        <v>3825</v>
      </c>
    </row>
    <row r="39" spans="2:4" ht="15" x14ac:dyDescent="0.25">
      <c r="B39" s="223">
        <v>33</v>
      </c>
      <c r="C39" s="224" t="s">
        <v>3826</v>
      </c>
      <c r="D39" s="225" t="s">
        <v>3827</v>
      </c>
    </row>
    <row r="40" spans="2:4" ht="15" x14ac:dyDescent="0.25">
      <c r="B40" s="226">
        <v>34</v>
      </c>
      <c r="C40" s="227" t="s">
        <v>3828</v>
      </c>
      <c r="D40" s="228" t="s">
        <v>3829</v>
      </c>
    </row>
    <row r="41" spans="2:4" ht="15" x14ac:dyDescent="0.25">
      <c r="B41" s="223">
        <v>35</v>
      </c>
      <c r="C41" s="224" t="s">
        <v>3830</v>
      </c>
      <c r="D41" s="225" t="s">
        <v>3831</v>
      </c>
    </row>
    <row r="42" spans="2:4" ht="15" x14ac:dyDescent="0.25">
      <c r="B42" s="226">
        <v>36</v>
      </c>
      <c r="C42" s="227" t="s">
        <v>3832</v>
      </c>
      <c r="D42" s="228" t="s">
        <v>3833</v>
      </c>
    </row>
    <row r="43" spans="2:4" ht="15" x14ac:dyDescent="0.25">
      <c r="B43" s="223">
        <v>37</v>
      </c>
      <c r="C43" s="224" t="s">
        <v>3834</v>
      </c>
      <c r="D43" s="225" t="s">
        <v>3835</v>
      </c>
    </row>
    <row r="44" spans="2:4" ht="15" x14ac:dyDescent="0.25">
      <c r="B44" s="226">
        <v>38</v>
      </c>
      <c r="C44" s="227" t="s">
        <v>3836</v>
      </c>
      <c r="D44" s="228" t="s">
        <v>3837</v>
      </c>
    </row>
    <row r="45" spans="2:4" ht="15" x14ac:dyDescent="0.25">
      <c r="B45" s="223">
        <v>39</v>
      </c>
      <c r="C45" s="224" t="s">
        <v>223</v>
      </c>
      <c r="D45" s="225" t="s">
        <v>3838</v>
      </c>
    </row>
    <row r="46" spans="2:4" ht="15" x14ac:dyDescent="0.25">
      <c r="B46" s="226">
        <v>40</v>
      </c>
      <c r="C46" s="227" t="s">
        <v>3839</v>
      </c>
      <c r="D46" s="228" t="s">
        <v>3840</v>
      </c>
    </row>
    <row r="47" spans="2:4" ht="15" x14ac:dyDescent="0.25">
      <c r="B47" s="223">
        <v>41</v>
      </c>
      <c r="C47" s="224" t="s">
        <v>3841</v>
      </c>
      <c r="D47" s="225" t="s">
        <v>3842</v>
      </c>
    </row>
    <row r="48" spans="2:4" ht="15" x14ac:dyDescent="0.25">
      <c r="B48" s="226">
        <v>42</v>
      </c>
      <c r="C48" s="227" t="s">
        <v>3843</v>
      </c>
      <c r="D48" s="228" t="s">
        <v>3844</v>
      </c>
    </row>
    <row r="49" spans="2:4" ht="15" x14ac:dyDescent="0.25">
      <c r="B49" s="223">
        <v>43</v>
      </c>
      <c r="C49" s="224" t="s">
        <v>231</v>
      </c>
      <c r="D49" s="225" t="s">
        <v>3845</v>
      </c>
    </row>
    <row r="50" spans="2:4" ht="15" x14ac:dyDescent="0.25">
      <c r="B50" s="226">
        <v>44</v>
      </c>
      <c r="C50" s="227" t="s">
        <v>3846</v>
      </c>
      <c r="D50" s="228" t="s">
        <v>3847</v>
      </c>
    </row>
    <row r="51" spans="2:4" ht="15" x14ac:dyDescent="0.25">
      <c r="B51" s="223">
        <v>45</v>
      </c>
      <c r="C51" s="224" t="s">
        <v>3848</v>
      </c>
      <c r="D51" s="225" t="s">
        <v>3849</v>
      </c>
    </row>
    <row r="52" spans="2:4" ht="15" x14ac:dyDescent="0.25">
      <c r="B52" s="226">
        <v>46</v>
      </c>
      <c r="C52" s="227" t="s">
        <v>3850</v>
      </c>
      <c r="D52" s="228" t="s">
        <v>3851</v>
      </c>
    </row>
    <row r="53" spans="2:4" ht="15" x14ac:dyDescent="0.25">
      <c r="B53" s="223">
        <v>47</v>
      </c>
      <c r="C53" s="224" t="s">
        <v>3852</v>
      </c>
      <c r="D53" s="225" t="s">
        <v>3853</v>
      </c>
    </row>
    <row r="54" spans="2:4" ht="15" x14ac:dyDescent="0.25">
      <c r="B54" s="226">
        <v>48</v>
      </c>
      <c r="C54" s="227" t="s">
        <v>3854</v>
      </c>
      <c r="D54" s="228" t="s">
        <v>3855</v>
      </c>
    </row>
    <row r="55" spans="2:4" ht="15" x14ac:dyDescent="0.25">
      <c r="B55" s="223">
        <v>49</v>
      </c>
      <c r="C55" s="224" t="s">
        <v>3856</v>
      </c>
      <c r="D55" s="225" t="s">
        <v>3857</v>
      </c>
    </row>
    <row r="56" spans="2:4" ht="15" x14ac:dyDescent="0.25">
      <c r="B56" s="226">
        <v>50</v>
      </c>
      <c r="C56" s="227" t="s">
        <v>3858</v>
      </c>
      <c r="D56" s="228" t="s">
        <v>3859</v>
      </c>
    </row>
    <row r="57" spans="2:4" ht="15" x14ac:dyDescent="0.25">
      <c r="B57" s="223">
        <v>51</v>
      </c>
      <c r="C57" s="224" t="s">
        <v>3860</v>
      </c>
      <c r="D57" s="225" t="s">
        <v>3861</v>
      </c>
    </row>
    <row r="58" spans="2:4" ht="15" x14ac:dyDescent="0.25">
      <c r="B58" s="226">
        <v>52</v>
      </c>
      <c r="C58" s="227" t="s">
        <v>255</v>
      </c>
      <c r="D58" s="228" t="s">
        <v>3862</v>
      </c>
    </row>
    <row r="59" spans="2:4" ht="15" x14ac:dyDescent="0.25">
      <c r="B59" s="223">
        <v>53</v>
      </c>
      <c r="C59" s="224" t="s">
        <v>3863</v>
      </c>
      <c r="D59" s="225" t="s">
        <v>3864</v>
      </c>
    </row>
    <row r="60" spans="2:4" ht="15" x14ac:dyDescent="0.25">
      <c r="B60" s="226">
        <v>54</v>
      </c>
      <c r="C60" s="227" t="s">
        <v>3865</v>
      </c>
      <c r="D60" s="228" t="s">
        <v>3866</v>
      </c>
    </row>
    <row r="61" spans="2:4" ht="15" x14ac:dyDescent="0.25">
      <c r="B61" s="223">
        <v>55</v>
      </c>
      <c r="C61" s="224" t="s">
        <v>3867</v>
      </c>
      <c r="D61" s="225" t="s">
        <v>3868</v>
      </c>
    </row>
    <row r="62" spans="2:4" ht="15" x14ac:dyDescent="0.25">
      <c r="B62" s="226">
        <v>56</v>
      </c>
      <c r="C62" s="227" t="s">
        <v>3869</v>
      </c>
      <c r="D62" s="228" t="s">
        <v>3870</v>
      </c>
    </row>
    <row r="63" spans="2:4" ht="15" x14ac:dyDescent="0.25">
      <c r="B63" s="223">
        <v>57</v>
      </c>
      <c r="C63" s="224" t="s">
        <v>281</v>
      </c>
      <c r="D63" s="225" t="s">
        <v>3871</v>
      </c>
    </row>
    <row r="64" spans="2:4" ht="15" x14ac:dyDescent="0.25">
      <c r="B64" s="226">
        <v>58</v>
      </c>
      <c r="C64" s="227" t="s">
        <v>3872</v>
      </c>
      <c r="D64" s="228" t="s">
        <v>3873</v>
      </c>
    </row>
    <row r="65" spans="2:4" ht="15" x14ac:dyDescent="0.25">
      <c r="B65" s="223">
        <v>59</v>
      </c>
      <c r="C65" s="224" t="s">
        <v>3874</v>
      </c>
      <c r="D65" s="225" t="s">
        <v>3875</v>
      </c>
    </row>
    <row r="66" spans="2:4" ht="15" x14ac:dyDescent="0.25">
      <c r="B66" s="226">
        <v>60</v>
      </c>
      <c r="C66" s="227" t="s">
        <v>3876</v>
      </c>
      <c r="D66" s="228" t="s">
        <v>3877</v>
      </c>
    </row>
    <row r="67" spans="2:4" ht="15" x14ac:dyDescent="0.25">
      <c r="B67" s="223">
        <v>61</v>
      </c>
      <c r="C67" s="224" t="s">
        <v>297</v>
      </c>
      <c r="D67" s="225" t="s">
        <v>3878</v>
      </c>
    </row>
    <row r="68" spans="2:4" ht="15" x14ac:dyDescent="0.25">
      <c r="B68" s="226">
        <v>62</v>
      </c>
      <c r="C68" s="227" t="s">
        <v>3879</v>
      </c>
      <c r="D68" s="228" t="s">
        <v>3880</v>
      </c>
    </row>
    <row r="69" spans="2:4" ht="15" x14ac:dyDescent="0.25">
      <c r="B69" s="223">
        <v>63</v>
      </c>
      <c r="C69" s="224" t="s">
        <v>3881</v>
      </c>
      <c r="D69" s="225" t="s">
        <v>3882</v>
      </c>
    </row>
    <row r="70" spans="2:4" ht="15" x14ac:dyDescent="0.25">
      <c r="B70" s="226">
        <v>64</v>
      </c>
      <c r="C70" s="227" t="s">
        <v>3883</v>
      </c>
      <c r="D70" s="228" t="s">
        <v>3884</v>
      </c>
    </row>
    <row r="71" spans="2:4" ht="15" x14ac:dyDescent="0.25">
      <c r="B71" s="223">
        <v>65</v>
      </c>
      <c r="C71" s="224" t="s">
        <v>3885</v>
      </c>
      <c r="D71" s="225" t="s">
        <v>3886</v>
      </c>
    </row>
    <row r="72" spans="2:4" ht="15" x14ac:dyDescent="0.25">
      <c r="B72" s="226">
        <v>66</v>
      </c>
      <c r="C72" s="227" t="s">
        <v>3887</v>
      </c>
      <c r="D72" s="228" t="s">
        <v>3888</v>
      </c>
    </row>
    <row r="73" spans="2:4" ht="15" x14ac:dyDescent="0.25">
      <c r="B73" s="223">
        <v>67</v>
      </c>
      <c r="C73" s="224" t="s">
        <v>3889</v>
      </c>
      <c r="D73" s="225" t="s">
        <v>3890</v>
      </c>
    </row>
    <row r="74" spans="2:4" ht="15" x14ac:dyDescent="0.25">
      <c r="B74" s="226">
        <v>68</v>
      </c>
      <c r="C74" s="227" t="s">
        <v>3891</v>
      </c>
      <c r="D74" s="228" t="s">
        <v>3892</v>
      </c>
    </row>
    <row r="75" spans="2:4" ht="15" x14ac:dyDescent="0.25">
      <c r="B75" s="223">
        <v>69</v>
      </c>
      <c r="C75" s="224" t="s">
        <v>3893</v>
      </c>
      <c r="D75" s="225" t="s">
        <v>3894</v>
      </c>
    </row>
    <row r="76" spans="2:4" ht="15" x14ac:dyDescent="0.25">
      <c r="B76" s="226">
        <v>70</v>
      </c>
      <c r="C76" s="227" t="s">
        <v>338</v>
      </c>
      <c r="D76" s="228" t="s">
        <v>3895</v>
      </c>
    </row>
    <row r="77" spans="2:4" ht="15" x14ac:dyDescent="0.25">
      <c r="B77" s="223">
        <v>71</v>
      </c>
      <c r="C77" s="224" t="s">
        <v>3896</v>
      </c>
      <c r="D77" s="225" t="s">
        <v>3897</v>
      </c>
    </row>
    <row r="78" spans="2:4" ht="15" x14ac:dyDescent="0.25">
      <c r="B78" s="226">
        <v>72</v>
      </c>
      <c r="C78" s="227" t="s">
        <v>3898</v>
      </c>
      <c r="D78" s="228" t="s">
        <v>3899</v>
      </c>
    </row>
    <row r="79" spans="2:4" ht="15" x14ac:dyDescent="0.25">
      <c r="B79" s="223">
        <v>73</v>
      </c>
      <c r="C79" s="224" t="s">
        <v>3900</v>
      </c>
      <c r="D79" s="225" t="s">
        <v>3901</v>
      </c>
    </row>
    <row r="80" spans="2:4" ht="15" x14ac:dyDescent="0.25">
      <c r="B80" s="226">
        <v>74</v>
      </c>
      <c r="C80" s="227" t="s">
        <v>3902</v>
      </c>
      <c r="D80" s="228" t="s">
        <v>3903</v>
      </c>
    </row>
    <row r="81" spans="2:4" ht="15" x14ac:dyDescent="0.25">
      <c r="B81" s="223">
        <v>75</v>
      </c>
      <c r="C81" s="224" t="s">
        <v>3904</v>
      </c>
      <c r="D81" s="225" t="s">
        <v>3905</v>
      </c>
    </row>
    <row r="82" spans="2:4" ht="15" x14ac:dyDescent="0.25">
      <c r="B82" s="226">
        <v>76</v>
      </c>
      <c r="C82" s="227" t="s">
        <v>3906</v>
      </c>
      <c r="D82" s="228" t="s">
        <v>3907</v>
      </c>
    </row>
    <row r="83" spans="2:4" ht="15" x14ac:dyDescent="0.25">
      <c r="B83" s="223">
        <v>77</v>
      </c>
      <c r="C83" s="224" t="s">
        <v>3908</v>
      </c>
      <c r="D83" s="225" t="s">
        <v>3909</v>
      </c>
    </row>
    <row r="84" spans="2:4" ht="15" x14ac:dyDescent="0.25">
      <c r="B84" s="226">
        <v>78</v>
      </c>
      <c r="C84" s="227" t="s">
        <v>3910</v>
      </c>
      <c r="D84" s="228" t="s">
        <v>3911</v>
      </c>
    </row>
    <row r="85" spans="2:4" ht="15" x14ac:dyDescent="0.25">
      <c r="B85" s="223">
        <v>79</v>
      </c>
      <c r="C85" s="224" t="s">
        <v>3912</v>
      </c>
      <c r="D85" s="225" t="s">
        <v>3913</v>
      </c>
    </row>
    <row r="86" spans="2:4" ht="15" x14ac:dyDescent="0.25">
      <c r="B86" s="226">
        <v>80</v>
      </c>
      <c r="C86" s="227" t="s">
        <v>373</v>
      </c>
      <c r="D86" s="228" t="s">
        <v>374</v>
      </c>
    </row>
    <row r="87" spans="2:4" ht="15" x14ac:dyDescent="0.25">
      <c r="B87" s="223">
        <v>81</v>
      </c>
      <c r="C87" s="224" t="s">
        <v>3914</v>
      </c>
      <c r="D87" s="225" t="s">
        <v>3915</v>
      </c>
    </row>
    <row r="88" spans="2:4" ht="15" x14ac:dyDescent="0.25">
      <c r="B88" s="226">
        <v>82</v>
      </c>
      <c r="C88" s="227" t="s">
        <v>3916</v>
      </c>
      <c r="D88" s="228" t="s">
        <v>3917</v>
      </c>
    </row>
    <row r="89" spans="2:4" ht="15" x14ac:dyDescent="0.25">
      <c r="B89" s="223">
        <v>83</v>
      </c>
      <c r="C89" s="224" t="s">
        <v>3918</v>
      </c>
      <c r="D89" s="225" t="s">
        <v>3919</v>
      </c>
    </row>
    <row r="90" spans="2:4" ht="15" x14ac:dyDescent="0.25">
      <c r="B90" s="226">
        <v>84</v>
      </c>
      <c r="C90" s="227" t="s">
        <v>3920</v>
      </c>
      <c r="D90" s="228" t="s">
        <v>3921</v>
      </c>
    </row>
    <row r="91" spans="2:4" ht="15" x14ac:dyDescent="0.25">
      <c r="B91" s="223">
        <v>85</v>
      </c>
      <c r="C91" s="224" t="s">
        <v>3922</v>
      </c>
      <c r="D91" s="225" t="s">
        <v>3923</v>
      </c>
    </row>
    <row r="92" spans="2:4" ht="15" x14ac:dyDescent="0.25">
      <c r="B92" s="226">
        <v>86</v>
      </c>
      <c r="C92" s="227" t="s">
        <v>119</v>
      </c>
      <c r="D92" s="228" t="s">
        <v>3924</v>
      </c>
    </row>
    <row r="93" spans="2:4" ht="15" x14ac:dyDescent="0.25">
      <c r="B93" s="223">
        <v>87</v>
      </c>
      <c r="C93" s="224" t="s">
        <v>3925</v>
      </c>
      <c r="D93" s="225" t="s">
        <v>3926</v>
      </c>
    </row>
    <row r="94" spans="2:4" ht="15" x14ac:dyDescent="0.25">
      <c r="B94" s="226">
        <v>88</v>
      </c>
      <c r="C94" s="227" t="s">
        <v>3927</v>
      </c>
      <c r="D94" s="228" t="s">
        <v>3928</v>
      </c>
    </row>
    <row r="95" spans="2:4" ht="15" x14ac:dyDescent="0.25">
      <c r="B95" s="223">
        <v>89</v>
      </c>
      <c r="C95" s="224" t="s">
        <v>3929</v>
      </c>
      <c r="D95" s="225" t="s">
        <v>3930</v>
      </c>
    </row>
    <row r="96" spans="2:4" ht="15" x14ac:dyDescent="0.25">
      <c r="B96" s="226">
        <v>90</v>
      </c>
      <c r="C96" s="227" t="s">
        <v>3931</v>
      </c>
      <c r="D96" s="228" t="s">
        <v>3932</v>
      </c>
    </row>
    <row r="97" spans="2:4" ht="15" x14ac:dyDescent="0.25">
      <c r="B97" s="223">
        <v>91</v>
      </c>
      <c r="C97" s="224" t="s">
        <v>3933</v>
      </c>
      <c r="D97" s="225" t="s">
        <v>3934</v>
      </c>
    </row>
    <row r="98" spans="2:4" ht="15" x14ac:dyDescent="0.25">
      <c r="B98" s="226">
        <v>92</v>
      </c>
      <c r="C98" s="227" t="s">
        <v>3935</v>
      </c>
      <c r="D98" s="228" t="s">
        <v>3936</v>
      </c>
    </row>
    <row r="99" spans="2:4" ht="15" x14ac:dyDescent="0.25">
      <c r="B99" s="223">
        <v>93</v>
      </c>
      <c r="C99" s="224" t="s">
        <v>3937</v>
      </c>
      <c r="D99" s="225" t="s">
        <v>3938</v>
      </c>
    </row>
    <row r="100" spans="2:4" ht="15" x14ac:dyDescent="0.25">
      <c r="B100" s="226">
        <v>94</v>
      </c>
      <c r="C100" s="227" t="s">
        <v>3939</v>
      </c>
      <c r="D100" s="228" t="s">
        <v>3940</v>
      </c>
    </row>
    <row r="101" spans="2:4" ht="15" x14ac:dyDescent="0.25">
      <c r="B101" s="223">
        <v>95</v>
      </c>
      <c r="C101" s="224" t="s">
        <v>3941</v>
      </c>
      <c r="D101" s="225" t="s">
        <v>3942</v>
      </c>
    </row>
    <row r="102" spans="2:4" ht="15" x14ac:dyDescent="0.25">
      <c r="B102" s="226">
        <v>96</v>
      </c>
      <c r="C102" s="227" t="s">
        <v>3943</v>
      </c>
      <c r="D102" s="228" t="s">
        <v>3944</v>
      </c>
    </row>
    <row r="103" spans="2:4" ht="15" x14ac:dyDescent="0.25">
      <c r="B103" s="223">
        <v>97</v>
      </c>
      <c r="C103" s="224" t="s">
        <v>3945</v>
      </c>
      <c r="D103" s="225" t="s">
        <v>3946</v>
      </c>
    </row>
    <row r="104" spans="2:4" ht="15" x14ac:dyDescent="0.25">
      <c r="B104" s="226">
        <v>98</v>
      </c>
      <c r="C104" s="227" t="s">
        <v>173</v>
      </c>
      <c r="D104" s="228" t="s">
        <v>3947</v>
      </c>
    </row>
    <row r="105" spans="2:4" ht="15" x14ac:dyDescent="0.25">
      <c r="B105" s="223">
        <v>99</v>
      </c>
      <c r="C105" s="224" t="s">
        <v>3948</v>
      </c>
      <c r="D105" s="225" t="s">
        <v>3949</v>
      </c>
    </row>
    <row r="106" spans="2:4" ht="15" x14ac:dyDescent="0.25">
      <c r="B106" s="226">
        <v>100</v>
      </c>
      <c r="C106" s="227" t="s">
        <v>3950</v>
      </c>
      <c r="D106" s="228" t="s">
        <v>3951</v>
      </c>
    </row>
    <row r="107" spans="2:4" ht="15" x14ac:dyDescent="0.25">
      <c r="B107" s="223">
        <v>101</v>
      </c>
      <c r="C107" s="224" t="s">
        <v>3952</v>
      </c>
      <c r="D107" s="225" t="s">
        <v>3953</v>
      </c>
    </row>
    <row r="108" spans="2:4" ht="15" x14ac:dyDescent="0.25">
      <c r="B108" s="226">
        <v>102</v>
      </c>
      <c r="C108" s="227" t="s">
        <v>3954</v>
      </c>
      <c r="D108" s="228" t="s">
        <v>3955</v>
      </c>
    </row>
    <row r="109" spans="2:4" ht="15" x14ac:dyDescent="0.25">
      <c r="B109" s="223">
        <v>103</v>
      </c>
      <c r="C109" s="224" t="s">
        <v>3956</v>
      </c>
      <c r="D109" s="225" t="s">
        <v>3957</v>
      </c>
    </row>
    <row r="110" spans="2:4" ht="15" x14ac:dyDescent="0.25">
      <c r="B110" s="226">
        <v>104</v>
      </c>
      <c r="C110" s="227" t="s">
        <v>3958</v>
      </c>
      <c r="D110" s="228" t="s">
        <v>3959</v>
      </c>
    </row>
    <row r="111" spans="2:4" ht="15" x14ac:dyDescent="0.25">
      <c r="B111" s="223">
        <v>105</v>
      </c>
      <c r="C111" s="224" t="s">
        <v>3960</v>
      </c>
      <c r="D111" s="225" t="s">
        <v>3961</v>
      </c>
    </row>
    <row r="112" spans="2:4" ht="15" x14ac:dyDescent="0.25">
      <c r="B112" s="226">
        <v>106</v>
      </c>
      <c r="C112" s="227" t="s">
        <v>3962</v>
      </c>
      <c r="D112" s="228" t="s">
        <v>3963</v>
      </c>
    </row>
    <row r="113" spans="2:4" ht="15" x14ac:dyDescent="0.25">
      <c r="B113" s="223">
        <v>107</v>
      </c>
      <c r="C113" s="224" t="s">
        <v>3964</v>
      </c>
      <c r="D113" s="225" t="s">
        <v>3965</v>
      </c>
    </row>
    <row r="114" spans="2:4" ht="15" x14ac:dyDescent="0.25">
      <c r="B114" s="226">
        <v>108</v>
      </c>
      <c r="C114" s="227" t="s">
        <v>3966</v>
      </c>
      <c r="D114" s="228" t="s">
        <v>3967</v>
      </c>
    </row>
    <row r="115" spans="2:4" ht="15" x14ac:dyDescent="0.25">
      <c r="B115" s="223">
        <v>109</v>
      </c>
      <c r="C115" s="224" t="s">
        <v>3968</v>
      </c>
      <c r="D115" s="225" t="s">
        <v>3969</v>
      </c>
    </row>
    <row r="116" spans="2:4" ht="15" x14ac:dyDescent="0.25">
      <c r="B116" s="226">
        <v>110</v>
      </c>
      <c r="C116" s="227" t="s">
        <v>3970</v>
      </c>
      <c r="D116" s="228" t="s">
        <v>3971</v>
      </c>
    </row>
    <row r="117" spans="2:4" ht="15" x14ac:dyDescent="0.25">
      <c r="B117" s="223">
        <v>111</v>
      </c>
      <c r="C117" s="224" t="s">
        <v>217</v>
      </c>
      <c r="D117" s="225" t="s">
        <v>3972</v>
      </c>
    </row>
    <row r="118" spans="2:4" ht="15" x14ac:dyDescent="0.25">
      <c r="B118" s="226">
        <v>112</v>
      </c>
      <c r="C118" s="227" t="s">
        <v>3973</v>
      </c>
      <c r="D118" s="228" t="s">
        <v>3974</v>
      </c>
    </row>
    <row r="119" spans="2:4" ht="15" x14ac:dyDescent="0.25">
      <c r="B119" s="223">
        <v>113</v>
      </c>
      <c r="C119" s="224" t="s">
        <v>3975</v>
      </c>
      <c r="D119" s="225" t="s">
        <v>3976</v>
      </c>
    </row>
    <row r="120" spans="2:4" ht="15" x14ac:dyDescent="0.25">
      <c r="B120" s="226">
        <v>114</v>
      </c>
      <c r="C120" s="227" t="s">
        <v>3977</v>
      </c>
      <c r="D120" s="228" t="s">
        <v>3978</v>
      </c>
    </row>
    <row r="121" spans="2:4" ht="15" x14ac:dyDescent="0.25">
      <c r="B121" s="223">
        <v>115</v>
      </c>
      <c r="C121" s="224" t="s">
        <v>3979</v>
      </c>
      <c r="D121" s="225" t="s">
        <v>3980</v>
      </c>
    </row>
    <row r="122" spans="2:4" ht="15" x14ac:dyDescent="0.25">
      <c r="B122" s="226">
        <v>116</v>
      </c>
      <c r="C122" s="227" t="s">
        <v>3981</v>
      </c>
      <c r="D122" s="228" t="s">
        <v>3982</v>
      </c>
    </row>
    <row r="123" spans="2:4" ht="15" x14ac:dyDescent="0.25">
      <c r="B123" s="223">
        <v>117</v>
      </c>
      <c r="C123" s="224" t="s">
        <v>3983</v>
      </c>
      <c r="D123" s="225" t="s">
        <v>3984</v>
      </c>
    </row>
    <row r="124" spans="2:4" ht="15" x14ac:dyDescent="0.25">
      <c r="B124" s="226">
        <v>118</v>
      </c>
      <c r="C124" s="227" t="s">
        <v>259</v>
      </c>
      <c r="D124" s="228" t="s">
        <v>3985</v>
      </c>
    </row>
    <row r="125" spans="2:4" ht="15" x14ac:dyDescent="0.25">
      <c r="B125" s="223">
        <v>119</v>
      </c>
      <c r="C125" s="224" t="s">
        <v>3986</v>
      </c>
      <c r="D125" s="225" t="s">
        <v>3987</v>
      </c>
    </row>
    <row r="126" spans="2:4" ht="15" x14ac:dyDescent="0.25">
      <c r="B126" s="226">
        <v>120</v>
      </c>
      <c r="C126" s="227" t="s">
        <v>275</v>
      </c>
      <c r="D126" s="228" t="s">
        <v>276</v>
      </c>
    </row>
    <row r="127" spans="2:4" ht="15" x14ac:dyDescent="0.25">
      <c r="B127" s="223">
        <v>121</v>
      </c>
      <c r="C127" s="224" t="s">
        <v>273</v>
      </c>
      <c r="D127" s="225" t="s">
        <v>3988</v>
      </c>
    </row>
    <row r="128" spans="2:4" ht="15" x14ac:dyDescent="0.25">
      <c r="B128" s="226">
        <v>122</v>
      </c>
      <c r="C128" s="227" t="s">
        <v>3989</v>
      </c>
      <c r="D128" s="228" t="s">
        <v>3990</v>
      </c>
    </row>
    <row r="129" spans="2:4" ht="15" x14ac:dyDescent="0.25">
      <c r="B129" s="223">
        <v>123</v>
      </c>
      <c r="C129" s="224" t="s">
        <v>3991</v>
      </c>
      <c r="D129" s="225" t="s">
        <v>3992</v>
      </c>
    </row>
    <row r="130" spans="2:4" ht="15" x14ac:dyDescent="0.25">
      <c r="B130" s="226">
        <v>124</v>
      </c>
      <c r="C130" s="227" t="s">
        <v>3993</v>
      </c>
      <c r="D130" s="228" t="s">
        <v>3994</v>
      </c>
    </row>
    <row r="131" spans="2:4" ht="15" x14ac:dyDescent="0.25">
      <c r="B131" s="223">
        <v>125</v>
      </c>
      <c r="C131" s="224" t="s">
        <v>3995</v>
      </c>
      <c r="D131" s="225" t="s">
        <v>3996</v>
      </c>
    </row>
    <row r="132" spans="2:4" ht="15" x14ac:dyDescent="0.25">
      <c r="B132" s="226">
        <v>126</v>
      </c>
      <c r="C132" s="227" t="s">
        <v>3997</v>
      </c>
      <c r="D132" s="228" t="s">
        <v>3998</v>
      </c>
    </row>
    <row r="133" spans="2:4" ht="15" x14ac:dyDescent="0.25">
      <c r="B133" s="223">
        <v>127</v>
      </c>
      <c r="C133" s="224" t="s">
        <v>3999</v>
      </c>
      <c r="D133" s="225" t="s">
        <v>4000</v>
      </c>
    </row>
    <row r="134" spans="2:4" ht="15" x14ac:dyDescent="0.25">
      <c r="B134" s="226">
        <v>128</v>
      </c>
      <c r="C134" s="227" t="s">
        <v>4001</v>
      </c>
      <c r="D134" s="228" t="s">
        <v>4002</v>
      </c>
    </row>
    <row r="135" spans="2:4" ht="15" x14ac:dyDescent="0.25">
      <c r="B135" s="223">
        <v>129</v>
      </c>
      <c r="C135" s="224" t="s">
        <v>321</v>
      </c>
      <c r="D135" s="225" t="s">
        <v>4003</v>
      </c>
    </row>
    <row r="136" spans="2:4" ht="15" x14ac:dyDescent="0.25">
      <c r="B136" s="226">
        <v>130</v>
      </c>
      <c r="C136" s="227" t="s">
        <v>4004</v>
      </c>
      <c r="D136" s="228" t="s">
        <v>4005</v>
      </c>
    </row>
    <row r="137" spans="2:4" ht="15" x14ac:dyDescent="0.25">
      <c r="B137" s="223">
        <v>131</v>
      </c>
      <c r="C137" s="224" t="s">
        <v>4006</v>
      </c>
      <c r="D137" s="225" t="s">
        <v>4007</v>
      </c>
    </row>
    <row r="138" spans="2:4" ht="15" x14ac:dyDescent="0.25">
      <c r="B138" s="226">
        <v>132</v>
      </c>
      <c r="C138" s="227" t="s">
        <v>4008</v>
      </c>
      <c r="D138" s="228" t="s">
        <v>4009</v>
      </c>
    </row>
    <row r="139" spans="2:4" ht="15" x14ac:dyDescent="0.25">
      <c r="B139" s="223">
        <v>133</v>
      </c>
      <c r="C139" s="224" t="s">
        <v>4010</v>
      </c>
      <c r="D139" s="225" t="s">
        <v>4011</v>
      </c>
    </row>
    <row r="140" spans="2:4" ht="15" x14ac:dyDescent="0.25">
      <c r="B140" s="226">
        <v>134</v>
      </c>
      <c r="C140" s="227" t="s">
        <v>4012</v>
      </c>
      <c r="D140" s="228" t="s">
        <v>4013</v>
      </c>
    </row>
    <row r="141" spans="2:4" ht="15" x14ac:dyDescent="0.25">
      <c r="B141" s="223">
        <v>135</v>
      </c>
      <c r="C141" s="224" t="s">
        <v>4014</v>
      </c>
      <c r="D141" s="225" t="s">
        <v>4015</v>
      </c>
    </row>
    <row r="142" spans="2:4" ht="15" x14ac:dyDescent="0.25">
      <c r="B142" s="226">
        <v>136</v>
      </c>
      <c r="C142" s="227" t="s">
        <v>4016</v>
      </c>
      <c r="D142" s="228" t="s">
        <v>4017</v>
      </c>
    </row>
    <row r="143" spans="2:4" ht="15" x14ac:dyDescent="0.25">
      <c r="B143" s="223">
        <v>137</v>
      </c>
      <c r="C143" s="224" t="s">
        <v>4018</v>
      </c>
      <c r="D143" s="225" t="s">
        <v>4019</v>
      </c>
    </row>
    <row r="144" spans="2:4" ht="15" x14ac:dyDescent="0.25">
      <c r="B144" s="226">
        <v>138</v>
      </c>
      <c r="C144" s="227" t="s">
        <v>4020</v>
      </c>
      <c r="D144" s="228" t="s">
        <v>4021</v>
      </c>
    </row>
    <row r="145" spans="2:4" ht="15" x14ac:dyDescent="0.25">
      <c r="B145" s="223">
        <v>139</v>
      </c>
      <c r="C145" s="224" t="s">
        <v>4022</v>
      </c>
      <c r="D145" s="225" t="s">
        <v>4023</v>
      </c>
    </row>
    <row r="146" spans="2:4" ht="15" x14ac:dyDescent="0.25">
      <c r="B146" s="226">
        <v>140</v>
      </c>
      <c r="C146" s="227" t="s">
        <v>4024</v>
      </c>
      <c r="D146" s="228" t="s">
        <v>4025</v>
      </c>
    </row>
    <row r="147" spans="2:4" ht="15" x14ac:dyDescent="0.25">
      <c r="B147" s="223">
        <v>141</v>
      </c>
      <c r="C147" s="224" t="s">
        <v>4026</v>
      </c>
      <c r="D147" s="225" t="s">
        <v>4027</v>
      </c>
    </row>
    <row r="148" spans="2:4" ht="15" x14ac:dyDescent="0.25">
      <c r="B148" s="226">
        <v>142</v>
      </c>
      <c r="C148" s="227" t="s">
        <v>4028</v>
      </c>
      <c r="D148" s="228" t="s">
        <v>4029</v>
      </c>
    </row>
    <row r="149" spans="2:4" ht="15" x14ac:dyDescent="0.25">
      <c r="B149" s="223">
        <v>143</v>
      </c>
      <c r="C149" s="224" t="s">
        <v>4030</v>
      </c>
      <c r="D149" s="225" t="s">
        <v>4031</v>
      </c>
    </row>
    <row r="150" spans="2:4" ht="15" x14ac:dyDescent="0.25">
      <c r="B150" s="226">
        <v>144</v>
      </c>
      <c r="C150" s="227" t="s">
        <v>4032</v>
      </c>
      <c r="D150" s="228" t="s">
        <v>4033</v>
      </c>
    </row>
    <row r="151" spans="2:4" ht="15" x14ac:dyDescent="0.25">
      <c r="B151" s="223">
        <v>145</v>
      </c>
      <c r="C151" s="224" t="s">
        <v>4034</v>
      </c>
      <c r="D151" s="225" t="s">
        <v>4035</v>
      </c>
    </row>
    <row r="152" spans="2:4" ht="15" x14ac:dyDescent="0.25">
      <c r="B152" s="226">
        <v>146</v>
      </c>
      <c r="C152" s="227" t="s">
        <v>377</v>
      </c>
      <c r="D152" s="228" t="s">
        <v>4036</v>
      </c>
    </row>
    <row r="153" spans="2:4" ht="15" x14ac:dyDescent="0.25">
      <c r="B153" s="223">
        <v>147</v>
      </c>
      <c r="C153" s="224" t="s">
        <v>4037</v>
      </c>
      <c r="D153" s="225" t="s">
        <v>4038</v>
      </c>
    </row>
    <row r="154" spans="2:4" ht="15" x14ac:dyDescent="0.25">
      <c r="B154" s="226">
        <v>148</v>
      </c>
      <c r="C154" s="227" t="s">
        <v>4039</v>
      </c>
      <c r="D154" s="228" t="s">
        <v>4040</v>
      </c>
    </row>
    <row r="155" spans="2:4" ht="15" x14ac:dyDescent="0.25">
      <c r="B155" s="223">
        <v>149</v>
      </c>
      <c r="C155" s="224" t="s">
        <v>4041</v>
      </c>
      <c r="D155" s="225" t="s">
        <v>4042</v>
      </c>
    </row>
    <row r="156" spans="2:4" ht="15" x14ac:dyDescent="0.25">
      <c r="B156" s="226">
        <v>150</v>
      </c>
      <c r="C156" s="227" t="s">
        <v>4043</v>
      </c>
      <c r="D156" s="228" t="s">
        <v>4044</v>
      </c>
    </row>
    <row r="157" spans="2:4" ht="15" x14ac:dyDescent="0.25">
      <c r="B157" s="223">
        <v>151</v>
      </c>
      <c r="C157" s="224" t="s">
        <v>4045</v>
      </c>
      <c r="D157" s="225" t="s">
        <v>4046</v>
      </c>
    </row>
    <row r="158" spans="2:4" ht="15" x14ac:dyDescent="0.25">
      <c r="B158" s="226">
        <v>152</v>
      </c>
      <c r="C158" s="227" t="s">
        <v>4047</v>
      </c>
      <c r="D158" s="228" t="s">
        <v>4048</v>
      </c>
    </row>
    <row r="159" spans="2:4" ht="15" x14ac:dyDescent="0.25">
      <c r="B159" s="223">
        <v>153</v>
      </c>
      <c r="C159" s="224" t="s">
        <v>4049</v>
      </c>
      <c r="D159" s="225" t="s">
        <v>4050</v>
      </c>
    </row>
    <row r="160" spans="2:4" ht="15" x14ac:dyDescent="0.25">
      <c r="B160" s="226">
        <v>154</v>
      </c>
      <c r="C160" s="227" t="s">
        <v>4051</v>
      </c>
      <c r="D160" s="228" t="s">
        <v>4052</v>
      </c>
    </row>
    <row r="161" spans="2:4" ht="15" x14ac:dyDescent="0.25">
      <c r="B161" s="223">
        <v>155</v>
      </c>
      <c r="C161" s="224" t="s">
        <v>4053</v>
      </c>
      <c r="D161" s="225" t="s">
        <v>4054</v>
      </c>
    </row>
    <row r="162" spans="2:4" ht="15" x14ac:dyDescent="0.25">
      <c r="B162" s="226">
        <v>156</v>
      </c>
      <c r="C162" s="227" t="s">
        <v>4055</v>
      </c>
      <c r="D162" s="228" t="s">
        <v>4056</v>
      </c>
    </row>
    <row r="163" spans="2:4" ht="15" x14ac:dyDescent="0.25">
      <c r="B163" s="223">
        <v>157</v>
      </c>
      <c r="C163" s="224" t="s">
        <v>4057</v>
      </c>
      <c r="D163" s="225" t="s">
        <v>4058</v>
      </c>
    </row>
    <row r="164" spans="2:4" ht="15" x14ac:dyDescent="0.25">
      <c r="B164" s="226">
        <v>158</v>
      </c>
      <c r="C164" s="227" t="s">
        <v>4059</v>
      </c>
      <c r="D164" s="228" t="s">
        <v>4060</v>
      </c>
    </row>
    <row r="165" spans="2:4" ht="15" x14ac:dyDescent="0.25">
      <c r="B165" s="223">
        <v>159</v>
      </c>
      <c r="C165" s="224" t="s">
        <v>4061</v>
      </c>
      <c r="D165" s="225" t="s">
        <v>4062</v>
      </c>
    </row>
    <row r="166" spans="2:4" ht="15" x14ac:dyDescent="0.25">
      <c r="B166" s="226">
        <v>160</v>
      </c>
      <c r="C166" s="227" t="s">
        <v>4063</v>
      </c>
      <c r="D166" s="228" t="s">
        <v>4064</v>
      </c>
    </row>
    <row r="167" spans="2:4" ht="15" x14ac:dyDescent="0.25">
      <c r="B167" s="223">
        <v>161</v>
      </c>
      <c r="C167" s="224" t="s">
        <v>283</v>
      </c>
      <c r="D167" s="225" t="s">
        <v>4065</v>
      </c>
    </row>
    <row r="168" spans="2:4" ht="15" x14ac:dyDescent="0.25">
      <c r="B168" s="226">
        <v>162</v>
      </c>
      <c r="C168" s="227" t="s">
        <v>4066</v>
      </c>
      <c r="D168" s="228" t="s">
        <v>4067</v>
      </c>
    </row>
    <row r="169" spans="2:4" ht="15" x14ac:dyDescent="0.25">
      <c r="B169" s="223">
        <v>163</v>
      </c>
      <c r="C169" s="224" t="s">
        <v>4068</v>
      </c>
      <c r="D169" s="225" t="s">
        <v>4069</v>
      </c>
    </row>
    <row r="170" spans="2:4" ht="15" x14ac:dyDescent="0.25">
      <c r="B170" s="226">
        <v>164</v>
      </c>
      <c r="C170" s="227" t="s">
        <v>4070</v>
      </c>
      <c r="D170" s="228" t="s">
        <v>4071</v>
      </c>
    </row>
    <row r="171" spans="2:4" ht="15" x14ac:dyDescent="0.25">
      <c r="B171" s="223">
        <v>165</v>
      </c>
      <c r="C171" s="224" t="s">
        <v>4072</v>
      </c>
      <c r="D171" s="225" t="s">
        <v>4073</v>
      </c>
    </row>
    <row r="172" spans="2:4" ht="15" x14ac:dyDescent="0.25">
      <c r="B172" s="226">
        <v>166</v>
      </c>
      <c r="C172" s="227" t="s">
        <v>4074</v>
      </c>
      <c r="D172" s="228" t="s">
        <v>4075</v>
      </c>
    </row>
    <row r="173" spans="2:4" ht="15" x14ac:dyDescent="0.25">
      <c r="B173" s="223">
        <v>167</v>
      </c>
      <c r="C173" s="224" t="s">
        <v>263</v>
      </c>
      <c r="D173" s="225" t="s">
        <v>4076</v>
      </c>
    </row>
    <row r="174" spans="2:4" ht="15" x14ac:dyDescent="0.25">
      <c r="B174" s="226">
        <v>168</v>
      </c>
      <c r="C174" s="227" t="s">
        <v>4077</v>
      </c>
      <c r="D174" s="228" t="s">
        <v>4078</v>
      </c>
    </row>
    <row r="175" spans="2:4" ht="15" x14ac:dyDescent="0.25">
      <c r="B175" s="223">
        <v>169</v>
      </c>
      <c r="C175" s="224" t="s">
        <v>4079</v>
      </c>
      <c r="D175" s="225" t="s">
        <v>4080</v>
      </c>
    </row>
    <row r="176" spans="2:4" ht="15" x14ac:dyDescent="0.25">
      <c r="B176" s="226">
        <v>170</v>
      </c>
      <c r="C176" s="227" t="s">
        <v>4081</v>
      </c>
      <c r="D176" s="228" t="s">
        <v>4082</v>
      </c>
    </row>
    <row r="177" spans="2:4" ht="15" x14ac:dyDescent="0.25">
      <c r="B177" s="223">
        <v>171</v>
      </c>
      <c r="C177" s="224" t="s">
        <v>4083</v>
      </c>
      <c r="D177" s="225" t="s">
        <v>4084</v>
      </c>
    </row>
    <row r="178" spans="2:4" ht="15" x14ac:dyDescent="0.25">
      <c r="B178" s="226">
        <v>172</v>
      </c>
      <c r="C178" s="227" t="s">
        <v>4085</v>
      </c>
      <c r="D178" s="228" t="s">
        <v>4086</v>
      </c>
    </row>
    <row r="179" spans="2:4" ht="15" x14ac:dyDescent="0.25">
      <c r="B179" s="223">
        <v>173</v>
      </c>
      <c r="C179" s="224" t="s">
        <v>4087</v>
      </c>
      <c r="D179" s="225" t="s">
        <v>4088</v>
      </c>
    </row>
    <row r="180" spans="2:4" ht="15" x14ac:dyDescent="0.25">
      <c r="B180" s="226">
        <v>174</v>
      </c>
      <c r="C180" s="227" t="s">
        <v>4089</v>
      </c>
      <c r="D180" s="228" t="s">
        <v>4090</v>
      </c>
    </row>
    <row r="181" spans="2:4" ht="15" x14ac:dyDescent="0.25">
      <c r="B181" s="223">
        <v>175</v>
      </c>
      <c r="C181" s="224" t="s">
        <v>4091</v>
      </c>
      <c r="D181" s="225" t="s">
        <v>4092</v>
      </c>
    </row>
    <row r="182" spans="2:4" ht="15" x14ac:dyDescent="0.25">
      <c r="B182" s="226">
        <v>176</v>
      </c>
      <c r="C182" s="227" t="s">
        <v>4093</v>
      </c>
      <c r="D182" s="228" t="s">
        <v>4094</v>
      </c>
    </row>
    <row r="183" spans="2:4" ht="15" x14ac:dyDescent="0.25">
      <c r="B183" s="223">
        <v>177</v>
      </c>
      <c r="C183" s="224" t="s">
        <v>4095</v>
      </c>
      <c r="D183" s="225" t="s">
        <v>4096</v>
      </c>
    </row>
    <row r="184" spans="2:4" ht="15" x14ac:dyDescent="0.25">
      <c r="B184" s="226">
        <v>178</v>
      </c>
      <c r="C184" s="227" t="s">
        <v>4097</v>
      </c>
      <c r="D184" s="228" t="s">
        <v>4098</v>
      </c>
    </row>
    <row r="185" spans="2:4" ht="15" x14ac:dyDescent="0.25">
      <c r="B185" s="223">
        <v>179</v>
      </c>
      <c r="C185" s="224" t="s">
        <v>4099</v>
      </c>
      <c r="D185" s="225" t="s">
        <v>4100</v>
      </c>
    </row>
    <row r="186" spans="2:4" ht="15" x14ac:dyDescent="0.25">
      <c r="B186" s="226">
        <v>180</v>
      </c>
      <c r="C186" s="227" t="s">
        <v>4101</v>
      </c>
      <c r="D186" s="228" t="s">
        <v>4102</v>
      </c>
    </row>
    <row r="187" spans="2:4" ht="15" x14ac:dyDescent="0.25">
      <c r="B187" s="223">
        <v>181</v>
      </c>
      <c r="C187" s="224" t="s">
        <v>4103</v>
      </c>
      <c r="D187" s="225" t="s">
        <v>4104</v>
      </c>
    </row>
    <row r="188" spans="2:4" ht="15" x14ac:dyDescent="0.25">
      <c r="B188" s="226">
        <v>182</v>
      </c>
      <c r="C188" s="227" t="s">
        <v>4105</v>
      </c>
      <c r="D188" s="228" t="s">
        <v>4106</v>
      </c>
    </row>
    <row r="189" spans="2:4" ht="15" x14ac:dyDescent="0.25">
      <c r="B189" s="223">
        <v>183</v>
      </c>
      <c r="C189" s="224" t="s">
        <v>4107</v>
      </c>
      <c r="D189" s="225" t="s">
        <v>4108</v>
      </c>
    </row>
    <row r="190" spans="2:4" ht="15" x14ac:dyDescent="0.25">
      <c r="B190" s="226">
        <v>184</v>
      </c>
      <c r="C190" s="227" t="s">
        <v>4109</v>
      </c>
      <c r="D190" s="228" t="s">
        <v>4110</v>
      </c>
    </row>
    <row r="191" spans="2:4" ht="15" x14ac:dyDescent="0.25">
      <c r="B191" s="223">
        <v>185</v>
      </c>
      <c r="C191" s="224" t="s">
        <v>4111</v>
      </c>
      <c r="D191" s="225" t="s">
        <v>4112</v>
      </c>
    </row>
    <row r="192" spans="2:4" ht="15" x14ac:dyDescent="0.25">
      <c r="B192" s="226">
        <v>186</v>
      </c>
      <c r="C192" s="227" t="s">
        <v>137</v>
      </c>
      <c r="D192" s="228" t="s">
        <v>4113</v>
      </c>
    </row>
    <row r="193" spans="2:4" ht="15" x14ac:dyDescent="0.25">
      <c r="B193" s="223">
        <v>187</v>
      </c>
      <c r="C193" s="224" t="s">
        <v>4114</v>
      </c>
      <c r="D193" s="225" t="s">
        <v>4115</v>
      </c>
    </row>
    <row r="194" spans="2:4" ht="15" x14ac:dyDescent="0.25">
      <c r="B194" s="226">
        <v>188</v>
      </c>
      <c r="C194" s="227" t="s">
        <v>4116</v>
      </c>
      <c r="D194" s="228" t="s">
        <v>4117</v>
      </c>
    </row>
    <row r="195" spans="2:4" ht="15" x14ac:dyDescent="0.25">
      <c r="B195" s="223">
        <v>189</v>
      </c>
      <c r="C195" s="224" t="s">
        <v>4118</v>
      </c>
      <c r="D195" s="225" t="s">
        <v>4119</v>
      </c>
    </row>
    <row r="196" spans="2:4" ht="15" x14ac:dyDescent="0.25">
      <c r="B196" s="226">
        <v>190</v>
      </c>
      <c r="C196" s="227" t="s">
        <v>4120</v>
      </c>
      <c r="D196" s="228" t="s">
        <v>4121</v>
      </c>
    </row>
    <row r="197" spans="2:4" ht="15" x14ac:dyDescent="0.25">
      <c r="B197" s="223">
        <v>191</v>
      </c>
      <c r="C197" s="224" t="s">
        <v>4122</v>
      </c>
      <c r="D197" s="225" t="s">
        <v>4123</v>
      </c>
    </row>
    <row r="198" spans="2:4" ht="15" x14ac:dyDescent="0.25">
      <c r="B198" s="226">
        <v>192</v>
      </c>
      <c r="C198" s="227" t="s">
        <v>4124</v>
      </c>
      <c r="D198" s="228" t="s">
        <v>4125</v>
      </c>
    </row>
    <row r="199" spans="2:4" ht="15" x14ac:dyDescent="0.25">
      <c r="B199" s="223">
        <v>193</v>
      </c>
      <c r="C199" s="224" t="s">
        <v>4126</v>
      </c>
      <c r="D199" s="225" t="s">
        <v>4127</v>
      </c>
    </row>
    <row r="200" spans="2:4" ht="15" x14ac:dyDescent="0.25">
      <c r="B200" s="226">
        <v>194</v>
      </c>
      <c r="C200" s="227" t="s">
        <v>169</v>
      </c>
      <c r="D200" s="228" t="s">
        <v>4128</v>
      </c>
    </row>
    <row r="201" spans="2:4" ht="15" x14ac:dyDescent="0.25">
      <c r="B201" s="223">
        <v>195</v>
      </c>
      <c r="C201" s="224" t="s">
        <v>4129</v>
      </c>
      <c r="D201" s="225" t="s">
        <v>4130</v>
      </c>
    </row>
    <row r="202" spans="2:4" ht="15" x14ac:dyDescent="0.25">
      <c r="B202" s="226">
        <v>196</v>
      </c>
      <c r="C202" s="227" t="s">
        <v>4131</v>
      </c>
      <c r="D202" s="228" t="s">
        <v>4132</v>
      </c>
    </row>
    <row r="203" spans="2:4" ht="15" x14ac:dyDescent="0.25">
      <c r="B203" s="223">
        <v>197</v>
      </c>
      <c r="C203" s="224" t="s">
        <v>4133</v>
      </c>
      <c r="D203" s="225" t="s">
        <v>4134</v>
      </c>
    </row>
    <row r="204" spans="2:4" ht="15" x14ac:dyDescent="0.25">
      <c r="B204" s="226">
        <v>198</v>
      </c>
      <c r="C204" s="227" t="s">
        <v>4135</v>
      </c>
      <c r="D204" s="228" t="s">
        <v>4136</v>
      </c>
    </row>
    <row r="205" spans="2:4" ht="15" x14ac:dyDescent="0.25">
      <c r="B205" s="223">
        <v>199</v>
      </c>
      <c r="C205" s="224" t="s">
        <v>4137</v>
      </c>
      <c r="D205" s="225" t="s">
        <v>4138</v>
      </c>
    </row>
    <row r="206" spans="2:4" ht="15" x14ac:dyDescent="0.25">
      <c r="B206" s="226">
        <v>200</v>
      </c>
      <c r="C206" s="227" t="s">
        <v>4139</v>
      </c>
      <c r="D206" s="228" t="s">
        <v>4140</v>
      </c>
    </row>
    <row r="207" spans="2:4" ht="15" x14ac:dyDescent="0.25">
      <c r="B207" s="223">
        <v>201</v>
      </c>
      <c r="C207" s="224" t="s">
        <v>4141</v>
      </c>
      <c r="D207" s="225" t="s">
        <v>4142</v>
      </c>
    </row>
    <row r="208" spans="2:4" ht="15" x14ac:dyDescent="0.25">
      <c r="B208" s="226">
        <v>202</v>
      </c>
      <c r="C208" s="227" t="s">
        <v>4143</v>
      </c>
      <c r="D208" s="228" t="s">
        <v>4144</v>
      </c>
    </row>
    <row r="209" spans="2:4" ht="15" x14ac:dyDescent="0.25">
      <c r="B209" s="223">
        <v>203</v>
      </c>
      <c r="C209" s="224" t="s">
        <v>4145</v>
      </c>
      <c r="D209" s="225" t="s">
        <v>4146</v>
      </c>
    </row>
    <row r="210" spans="2:4" ht="15" x14ac:dyDescent="0.25">
      <c r="B210" s="226">
        <v>204</v>
      </c>
      <c r="C210" s="227" t="s">
        <v>4147</v>
      </c>
      <c r="D210" s="228" t="s">
        <v>4148</v>
      </c>
    </row>
    <row r="211" spans="2:4" ht="15" x14ac:dyDescent="0.25">
      <c r="B211" s="223">
        <v>205</v>
      </c>
      <c r="C211" s="224" t="s">
        <v>4149</v>
      </c>
      <c r="D211" s="225" t="s">
        <v>4150</v>
      </c>
    </row>
    <row r="212" spans="2:4" ht="15" x14ac:dyDescent="0.25">
      <c r="B212" s="226">
        <v>206</v>
      </c>
      <c r="C212" s="227" t="s">
        <v>4151</v>
      </c>
      <c r="D212" s="228" t="s">
        <v>4152</v>
      </c>
    </row>
    <row r="213" spans="2:4" ht="15" x14ac:dyDescent="0.25">
      <c r="B213" s="223">
        <v>207</v>
      </c>
      <c r="C213" s="224" t="s">
        <v>4153</v>
      </c>
      <c r="D213" s="225" t="s">
        <v>4154</v>
      </c>
    </row>
    <row r="214" spans="2:4" ht="15" x14ac:dyDescent="0.25">
      <c r="B214" s="226">
        <v>208</v>
      </c>
      <c r="C214" s="227" t="s">
        <v>4155</v>
      </c>
      <c r="D214" s="228" t="s">
        <v>4156</v>
      </c>
    </row>
    <row r="215" spans="2:4" ht="15" x14ac:dyDescent="0.25">
      <c r="B215" s="223">
        <v>209</v>
      </c>
      <c r="C215" s="224" t="s">
        <v>4157</v>
      </c>
      <c r="D215" s="225" t="s">
        <v>4158</v>
      </c>
    </row>
    <row r="216" spans="2:4" ht="15" x14ac:dyDescent="0.25">
      <c r="B216" s="226">
        <v>210</v>
      </c>
      <c r="C216" s="227" t="s">
        <v>4159</v>
      </c>
      <c r="D216" s="228" t="s">
        <v>4160</v>
      </c>
    </row>
    <row r="217" spans="2:4" ht="15" x14ac:dyDescent="0.25">
      <c r="B217" s="223">
        <v>211</v>
      </c>
      <c r="C217" s="224" t="s">
        <v>4161</v>
      </c>
      <c r="D217" s="225" t="s">
        <v>4162</v>
      </c>
    </row>
    <row r="218" spans="2:4" ht="15" x14ac:dyDescent="0.25">
      <c r="B218" s="226">
        <v>212</v>
      </c>
      <c r="C218" s="227" t="s">
        <v>4163</v>
      </c>
      <c r="D218" s="228" t="s">
        <v>4164</v>
      </c>
    </row>
    <row r="219" spans="2:4" ht="15" x14ac:dyDescent="0.25">
      <c r="B219" s="223">
        <v>213</v>
      </c>
      <c r="C219" s="224" t="s">
        <v>4165</v>
      </c>
      <c r="D219" s="225" t="s">
        <v>4166</v>
      </c>
    </row>
    <row r="220" spans="2:4" ht="15" x14ac:dyDescent="0.25">
      <c r="B220" s="226">
        <v>214</v>
      </c>
      <c r="C220" s="227" t="s">
        <v>4167</v>
      </c>
      <c r="D220" s="228" t="s">
        <v>4168</v>
      </c>
    </row>
    <row r="221" spans="2:4" ht="15" x14ac:dyDescent="0.25">
      <c r="B221" s="223">
        <v>215</v>
      </c>
      <c r="C221" s="224" t="s">
        <v>4169</v>
      </c>
      <c r="D221" s="225" t="s">
        <v>4170</v>
      </c>
    </row>
    <row r="222" spans="2:4" ht="15" x14ac:dyDescent="0.25">
      <c r="B222" s="226">
        <v>216</v>
      </c>
      <c r="C222" s="227" t="s">
        <v>4171</v>
      </c>
      <c r="D222" s="228" t="s">
        <v>4172</v>
      </c>
    </row>
    <row r="223" spans="2:4" ht="15" x14ac:dyDescent="0.25">
      <c r="B223" s="223">
        <v>217</v>
      </c>
      <c r="C223" s="224" t="s">
        <v>4173</v>
      </c>
      <c r="D223" s="225" t="s">
        <v>4174</v>
      </c>
    </row>
    <row r="224" spans="2:4" ht="15" x14ac:dyDescent="0.25">
      <c r="B224" s="226">
        <v>218</v>
      </c>
      <c r="C224" s="227" t="s">
        <v>4175</v>
      </c>
      <c r="D224" s="228" t="s">
        <v>4176</v>
      </c>
    </row>
    <row r="225" spans="2:4" ht="15" x14ac:dyDescent="0.25">
      <c r="B225" s="223">
        <v>219</v>
      </c>
      <c r="C225" s="224" t="s">
        <v>4177</v>
      </c>
      <c r="D225" s="225" t="s">
        <v>4178</v>
      </c>
    </row>
    <row r="226" spans="2:4" ht="15" x14ac:dyDescent="0.25">
      <c r="B226" s="226">
        <v>220</v>
      </c>
      <c r="C226" s="227" t="s">
        <v>4179</v>
      </c>
      <c r="D226" s="228" t="s">
        <v>4180</v>
      </c>
    </row>
    <row r="227" spans="2:4" ht="15" x14ac:dyDescent="0.25">
      <c r="B227" s="223">
        <v>221</v>
      </c>
      <c r="C227" s="224" t="s">
        <v>4181</v>
      </c>
      <c r="D227" s="225" t="s">
        <v>4182</v>
      </c>
    </row>
    <row r="228" spans="2:4" ht="15" x14ac:dyDescent="0.25">
      <c r="B228" s="226">
        <v>222</v>
      </c>
      <c r="C228" s="227" t="s">
        <v>4183</v>
      </c>
      <c r="D228" s="228" t="s">
        <v>4184</v>
      </c>
    </row>
    <row r="229" spans="2:4" ht="15" x14ac:dyDescent="0.25">
      <c r="B229" s="223">
        <v>223</v>
      </c>
      <c r="C229" s="224" t="s">
        <v>4185</v>
      </c>
      <c r="D229" s="225" t="s">
        <v>4186</v>
      </c>
    </row>
    <row r="230" spans="2:4" ht="15" x14ac:dyDescent="0.25">
      <c r="B230" s="226">
        <v>224</v>
      </c>
      <c r="C230" s="227" t="s">
        <v>4187</v>
      </c>
      <c r="D230" s="228" t="s">
        <v>4188</v>
      </c>
    </row>
    <row r="231" spans="2:4" ht="15" x14ac:dyDescent="0.25">
      <c r="B231" s="223">
        <v>225</v>
      </c>
      <c r="C231" s="224" t="s">
        <v>4189</v>
      </c>
      <c r="D231" s="225" t="s">
        <v>4190</v>
      </c>
    </row>
    <row r="232" spans="2:4" ht="15" x14ac:dyDescent="0.25">
      <c r="B232" s="226">
        <v>226</v>
      </c>
      <c r="C232" s="227" t="s">
        <v>4191</v>
      </c>
      <c r="D232" s="228" t="s">
        <v>4192</v>
      </c>
    </row>
    <row r="233" spans="2:4" ht="15" x14ac:dyDescent="0.25">
      <c r="B233" s="223">
        <v>227</v>
      </c>
      <c r="C233" s="224" t="s">
        <v>4193</v>
      </c>
      <c r="D233" s="225" t="s">
        <v>4194</v>
      </c>
    </row>
    <row r="234" spans="2:4" ht="15" x14ac:dyDescent="0.25">
      <c r="B234" s="226">
        <v>228</v>
      </c>
      <c r="C234" s="227" t="s">
        <v>4195</v>
      </c>
      <c r="D234" s="228" t="s">
        <v>4196</v>
      </c>
    </row>
    <row r="235" spans="2:4" ht="15" x14ac:dyDescent="0.25">
      <c r="B235" s="223">
        <v>229</v>
      </c>
      <c r="C235" s="224" t="s">
        <v>4197</v>
      </c>
      <c r="D235" s="225" t="s">
        <v>4198</v>
      </c>
    </row>
    <row r="236" spans="2:4" ht="15" x14ac:dyDescent="0.25">
      <c r="B236" s="226">
        <v>230</v>
      </c>
      <c r="C236" s="227" t="s">
        <v>4199</v>
      </c>
      <c r="D236" s="228" t="s">
        <v>4200</v>
      </c>
    </row>
    <row r="237" spans="2:4" ht="15" x14ac:dyDescent="0.25">
      <c r="B237" s="223">
        <v>231</v>
      </c>
      <c r="C237" s="224" t="s">
        <v>4201</v>
      </c>
      <c r="D237" s="225" t="s">
        <v>4202</v>
      </c>
    </row>
    <row r="238" spans="2:4" ht="15" x14ac:dyDescent="0.25">
      <c r="B238" s="226">
        <v>232</v>
      </c>
      <c r="C238" s="227" t="s">
        <v>4203</v>
      </c>
      <c r="D238" s="228" t="s">
        <v>4204</v>
      </c>
    </row>
    <row r="239" spans="2:4" ht="15" x14ac:dyDescent="0.25">
      <c r="B239" s="223">
        <v>233</v>
      </c>
      <c r="C239" s="224" t="s">
        <v>4205</v>
      </c>
      <c r="D239" s="225" t="s">
        <v>4206</v>
      </c>
    </row>
    <row r="240" spans="2:4" ht="15" x14ac:dyDescent="0.25">
      <c r="B240" s="226">
        <v>234</v>
      </c>
      <c r="C240" s="227" t="s">
        <v>4207</v>
      </c>
      <c r="D240" s="228" t="s">
        <v>4208</v>
      </c>
    </row>
    <row r="241" spans="2:4" ht="15" x14ac:dyDescent="0.25">
      <c r="B241" s="223">
        <v>235</v>
      </c>
      <c r="C241" s="224" t="s">
        <v>4209</v>
      </c>
      <c r="D241" s="225" t="s">
        <v>4210</v>
      </c>
    </row>
    <row r="242" spans="2:4" ht="15" x14ac:dyDescent="0.25">
      <c r="B242" s="226">
        <v>236</v>
      </c>
      <c r="C242" s="227" t="s">
        <v>4211</v>
      </c>
      <c r="D242" s="228" t="s">
        <v>4212</v>
      </c>
    </row>
    <row r="243" spans="2:4" ht="15" x14ac:dyDescent="0.25">
      <c r="B243" s="223">
        <v>237</v>
      </c>
      <c r="C243" s="224" t="s">
        <v>4213</v>
      </c>
      <c r="D243" s="225" t="s">
        <v>4214</v>
      </c>
    </row>
    <row r="244" spans="2:4" ht="15" x14ac:dyDescent="0.25">
      <c r="B244" s="226">
        <v>238</v>
      </c>
      <c r="C244" s="227" t="s">
        <v>4215</v>
      </c>
      <c r="D244" s="228" t="s">
        <v>4216</v>
      </c>
    </row>
    <row r="245" spans="2:4" ht="15" x14ac:dyDescent="0.25">
      <c r="B245" s="223">
        <v>239</v>
      </c>
      <c r="C245" s="224" t="s">
        <v>4217</v>
      </c>
      <c r="D245" s="225" t="s">
        <v>4218</v>
      </c>
    </row>
    <row r="246" spans="2:4" ht="15" x14ac:dyDescent="0.25">
      <c r="B246" s="226">
        <v>240</v>
      </c>
      <c r="C246" s="227" t="s">
        <v>340</v>
      </c>
      <c r="D246" s="228" t="s">
        <v>4219</v>
      </c>
    </row>
    <row r="247" spans="2:4" ht="15" x14ac:dyDescent="0.25">
      <c r="B247" s="223">
        <v>241</v>
      </c>
      <c r="C247" s="224" t="s">
        <v>344</v>
      </c>
      <c r="D247" s="225" t="s">
        <v>4220</v>
      </c>
    </row>
    <row r="248" spans="2:4" ht="15" x14ac:dyDescent="0.25">
      <c r="B248" s="226">
        <v>242</v>
      </c>
      <c r="C248" s="227" t="s">
        <v>4221</v>
      </c>
      <c r="D248" s="228" t="s">
        <v>4222</v>
      </c>
    </row>
    <row r="249" spans="2:4" ht="15" x14ac:dyDescent="0.25">
      <c r="B249" s="223">
        <v>243</v>
      </c>
      <c r="C249" s="224" t="s">
        <v>4223</v>
      </c>
      <c r="D249" s="225" t="s">
        <v>4224</v>
      </c>
    </row>
    <row r="250" spans="2:4" ht="15" x14ac:dyDescent="0.25">
      <c r="B250" s="226">
        <v>244</v>
      </c>
      <c r="C250" s="227" t="s">
        <v>4225</v>
      </c>
      <c r="D250" s="228" t="s">
        <v>4226</v>
      </c>
    </row>
    <row r="251" spans="2:4" ht="15" x14ac:dyDescent="0.25">
      <c r="B251" s="223">
        <v>245</v>
      </c>
      <c r="C251" s="224" t="s">
        <v>4227</v>
      </c>
      <c r="D251" s="225" t="s">
        <v>4228</v>
      </c>
    </row>
    <row r="252" spans="2:4" ht="15" x14ac:dyDescent="0.25">
      <c r="B252" s="226">
        <v>246</v>
      </c>
      <c r="C252" s="227" t="s">
        <v>4229</v>
      </c>
      <c r="D252" s="228" t="s">
        <v>4230</v>
      </c>
    </row>
    <row r="253" spans="2:4" ht="15" x14ac:dyDescent="0.25">
      <c r="B253" s="223">
        <v>247</v>
      </c>
      <c r="C253" s="224" t="s">
        <v>4231</v>
      </c>
      <c r="D253" s="225" t="s">
        <v>4232</v>
      </c>
    </row>
    <row r="254" spans="2:4" ht="15" x14ac:dyDescent="0.25">
      <c r="B254" s="226">
        <v>248</v>
      </c>
      <c r="C254" s="227" t="s">
        <v>371</v>
      </c>
      <c r="D254" s="228" t="s">
        <v>4233</v>
      </c>
    </row>
    <row r="255" spans="2:4" ht="15" x14ac:dyDescent="0.25">
      <c r="B255" s="223">
        <v>249</v>
      </c>
      <c r="C255" s="224" t="s">
        <v>4234</v>
      </c>
      <c r="D255" s="225" t="s">
        <v>4235</v>
      </c>
    </row>
    <row r="256" spans="2:4" ht="15" x14ac:dyDescent="0.25">
      <c r="B256" s="226">
        <v>250</v>
      </c>
      <c r="C256" s="227" t="s">
        <v>4236</v>
      </c>
      <c r="D256" s="228" t="s">
        <v>4237</v>
      </c>
    </row>
    <row r="257" spans="2:4" ht="15" x14ac:dyDescent="0.25">
      <c r="B257" s="223">
        <v>251</v>
      </c>
      <c r="C257" s="224" t="s">
        <v>4238</v>
      </c>
      <c r="D257" s="225" t="s">
        <v>4239</v>
      </c>
    </row>
    <row r="258" spans="2:4" ht="15" x14ac:dyDescent="0.25">
      <c r="B258" s="226">
        <v>252</v>
      </c>
      <c r="C258" s="227" t="s">
        <v>4240</v>
      </c>
      <c r="D258" s="228" t="s">
        <v>4241</v>
      </c>
    </row>
    <row r="259" spans="2:4" ht="15" x14ac:dyDescent="0.25">
      <c r="B259" s="223">
        <v>253</v>
      </c>
      <c r="C259" s="224" t="s">
        <v>4242</v>
      </c>
      <c r="D259" s="225" t="s">
        <v>4243</v>
      </c>
    </row>
    <row r="260" spans="2:4" ht="15" x14ac:dyDescent="0.25">
      <c r="B260" s="226">
        <v>254</v>
      </c>
      <c r="C260" s="227" t="s">
        <v>4244</v>
      </c>
      <c r="D260" s="228" t="s">
        <v>4245</v>
      </c>
    </row>
    <row r="261" spans="2:4" ht="15" x14ac:dyDescent="0.25">
      <c r="B261" s="223">
        <v>255</v>
      </c>
      <c r="C261" s="224" t="s">
        <v>4246</v>
      </c>
      <c r="D261" s="225" t="s">
        <v>4247</v>
      </c>
    </row>
    <row r="262" spans="2:4" ht="15" x14ac:dyDescent="0.25">
      <c r="B262" s="226">
        <v>256</v>
      </c>
      <c r="C262" s="227" t="s">
        <v>4248</v>
      </c>
      <c r="D262" s="228" t="s">
        <v>4249</v>
      </c>
    </row>
    <row r="263" spans="2:4" ht="15" x14ac:dyDescent="0.25">
      <c r="B263" s="223">
        <v>257</v>
      </c>
      <c r="C263" s="224" t="s">
        <v>131</v>
      </c>
      <c r="D263" s="225" t="s">
        <v>132</v>
      </c>
    </row>
    <row r="264" spans="2:4" ht="15" x14ac:dyDescent="0.25">
      <c r="B264" s="226">
        <v>258</v>
      </c>
      <c r="C264" s="227" t="s">
        <v>133</v>
      </c>
      <c r="D264" s="228" t="s">
        <v>134</v>
      </c>
    </row>
    <row r="265" spans="2:4" ht="15" x14ac:dyDescent="0.25">
      <c r="B265" s="223">
        <v>259</v>
      </c>
      <c r="C265" s="224" t="s">
        <v>4250</v>
      </c>
      <c r="D265" s="225" t="s">
        <v>4251</v>
      </c>
    </row>
    <row r="266" spans="2:4" ht="15" x14ac:dyDescent="0.25">
      <c r="B266" s="226">
        <v>260</v>
      </c>
      <c r="C266" s="227" t="s">
        <v>4252</v>
      </c>
      <c r="D266" s="228" t="s">
        <v>4253</v>
      </c>
    </row>
    <row r="267" spans="2:4" ht="15" x14ac:dyDescent="0.25">
      <c r="B267" s="223">
        <v>261</v>
      </c>
      <c r="C267" s="224" t="s">
        <v>147</v>
      </c>
      <c r="D267" s="225" t="s">
        <v>148</v>
      </c>
    </row>
    <row r="268" spans="2:4" ht="15" x14ac:dyDescent="0.25">
      <c r="B268" s="226">
        <v>262</v>
      </c>
      <c r="C268" s="227" t="s">
        <v>4254</v>
      </c>
      <c r="D268" s="228" t="s">
        <v>4255</v>
      </c>
    </row>
    <row r="269" spans="2:4" ht="15" x14ac:dyDescent="0.25">
      <c r="B269" s="223">
        <v>263</v>
      </c>
      <c r="C269" s="224" t="s">
        <v>4256</v>
      </c>
      <c r="D269" s="225" t="s">
        <v>4257</v>
      </c>
    </row>
    <row r="270" spans="2:4" ht="15" x14ac:dyDescent="0.25">
      <c r="B270" s="226">
        <v>264</v>
      </c>
      <c r="C270" s="227" t="s">
        <v>4258</v>
      </c>
      <c r="D270" s="228" t="s">
        <v>4259</v>
      </c>
    </row>
    <row r="271" spans="2:4" ht="15" x14ac:dyDescent="0.25">
      <c r="B271" s="223">
        <v>265</v>
      </c>
      <c r="C271" s="224" t="s">
        <v>179</v>
      </c>
      <c r="D271" s="225" t="s">
        <v>4260</v>
      </c>
    </row>
    <row r="272" spans="2:4" ht="15" x14ac:dyDescent="0.25">
      <c r="B272" s="226">
        <v>266</v>
      </c>
      <c r="C272" s="227" t="s">
        <v>4261</v>
      </c>
      <c r="D272" s="228" t="s">
        <v>4262</v>
      </c>
    </row>
    <row r="273" spans="2:4" ht="15" x14ac:dyDescent="0.25">
      <c r="B273" s="223">
        <v>267</v>
      </c>
      <c r="C273" s="224" t="s">
        <v>4263</v>
      </c>
      <c r="D273" s="225" t="s">
        <v>4264</v>
      </c>
    </row>
    <row r="274" spans="2:4" ht="15" x14ac:dyDescent="0.25">
      <c r="B274" s="226">
        <v>268</v>
      </c>
      <c r="C274" s="227" t="s">
        <v>4265</v>
      </c>
      <c r="D274" s="228" t="s">
        <v>4266</v>
      </c>
    </row>
    <row r="275" spans="2:4" ht="15" x14ac:dyDescent="0.25">
      <c r="B275" s="223">
        <v>269</v>
      </c>
      <c r="C275" s="224" t="s">
        <v>4267</v>
      </c>
      <c r="D275" s="225" t="s">
        <v>4268</v>
      </c>
    </row>
    <row r="276" spans="2:4" ht="15" x14ac:dyDescent="0.25">
      <c r="B276" s="226">
        <v>270</v>
      </c>
      <c r="C276" s="227" t="s">
        <v>4269</v>
      </c>
      <c r="D276" s="228" t="s">
        <v>4270</v>
      </c>
    </row>
    <row r="277" spans="2:4" ht="15" x14ac:dyDescent="0.25">
      <c r="B277" s="223">
        <v>271</v>
      </c>
      <c r="C277" s="224" t="s">
        <v>4271</v>
      </c>
      <c r="D277" s="225" t="s">
        <v>4272</v>
      </c>
    </row>
    <row r="278" spans="2:4" ht="15" x14ac:dyDescent="0.25">
      <c r="B278" s="226">
        <v>272</v>
      </c>
      <c r="C278" s="227" t="s">
        <v>4273</v>
      </c>
      <c r="D278" s="228" t="s">
        <v>4274</v>
      </c>
    </row>
    <row r="279" spans="2:4" ht="15" x14ac:dyDescent="0.25">
      <c r="B279" s="223">
        <v>273</v>
      </c>
      <c r="C279" s="224" t="s">
        <v>4275</v>
      </c>
      <c r="D279" s="225" t="s">
        <v>4276</v>
      </c>
    </row>
    <row r="280" spans="2:4" ht="15" x14ac:dyDescent="0.25">
      <c r="B280" s="226">
        <v>274</v>
      </c>
      <c r="C280" s="227" t="s">
        <v>4277</v>
      </c>
      <c r="D280" s="228" t="s">
        <v>4278</v>
      </c>
    </row>
    <row r="281" spans="2:4" ht="15" x14ac:dyDescent="0.25">
      <c r="B281" s="223">
        <v>275</v>
      </c>
      <c r="C281" s="224" t="s">
        <v>191</v>
      </c>
      <c r="D281" s="225" t="s">
        <v>4279</v>
      </c>
    </row>
    <row r="282" spans="2:4" ht="15" x14ac:dyDescent="0.25">
      <c r="B282" s="226">
        <v>276</v>
      </c>
      <c r="C282" s="227" t="s">
        <v>4280</v>
      </c>
      <c r="D282" s="228" t="s">
        <v>4281</v>
      </c>
    </row>
    <row r="283" spans="2:4" ht="15" x14ac:dyDescent="0.25">
      <c r="B283" s="223">
        <v>277</v>
      </c>
      <c r="C283" s="224" t="s">
        <v>4282</v>
      </c>
      <c r="D283" s="225" t="s">
        <v>4283</v>
      </c>
    </row>
    <row r="284" spans="2:4" ht="15" x14ac:dyDescent="0.25">
      <c r="B284" s="226">
        <v>278</v>
      </c>
      <c r="C284" s="227" t="s">
        <v>4284</v>
      </c>
      <c r="D284" s="228" t="s">
        <v>4285</v>
      </c>
    </row>
    <row r="285" spans="2:4" ht="15" x14ac:dyDescent="0.25">
      <c r="B285" s="223">
        <v>279</v>
      </c>
      <c r="C285" s="224" t="s">
        <v>207</v>
      </c>
      <c r="D285" s="225" t="s">
        <v>4286</v>
      </c>
    </row>
    <row r="286" spans="2:4" ht="15" x14ac:dyDescent="0.25">
      <c r="B286" s="226">
        <v>280</v>
      </c>
      <c r="C286" s="227" t="s">
        <v>4287</v>
      </c>
      <c r="D286" s="228" t="s">
        <v>4288</v>
      </c>
    </row>
    <row r="287" spans="2:4" ht="15" x14ac:dyDescent="0.25">
      <c r="B287" s="223">
        <v>281</v>
      </c>
      <c r="C287" s="224" t="s">
        <v>4289</v>
      </c>
      <c r="D287" s="225" t="s">
        <v>4290</v>
      </c>
    </row>
    <row r="288" spans="2:4" ht="15" x14ac:dyDescent="0.25">
      <c r="B288" s="226">
        <v>282</v>
      </c>
      <c r="C288" s="227" t="s">
        <v>4291</v>
      </c>
      <c r="D288" s="228" t="s">
        <v>4292</v>
      </c>
    </row>
    <row r="289" spans="2:4" ht="15" x14ac:dyDescent="0.25">
      <c r="B289" s="223">
        <v>283</v>
      </c>
      <c r="C289" s="224" t="s">
        <v>4293</v>
      </c>
      <c r="D289" s="225" t="s">
        <v>4294</v>
      </c>
    </row>
    <row r="290" spans="2:4" ht="15" x14ac:dyDescent="0.25">
      <c r="B290" s="226">
        <v>284</v>
      </c>
      <c r="C290" s="227" t="s">
        <v>4295</v>
      </c>
      <c r="D290" s="228" t="s">
        <v>4296</v>
      </c>
    </row>
    <row r="291" spans="2:4" ht="15" x14ac:dyDescent="0.25">
      <c r="B291" s="223">
        <v>285</v>
      </c>
      <c r="C291" s="224" t="s">
        <v>4297</v>
      </c>
      <c r="D291" s="225" t="s">
        <v>4298</v>
      </c>
    </row>
    <row r="292" spans="2:4" ht="15" x14ac:dyDescent="0.25">
      <c r="B292" s="226">
        <v>286</v>
      </c>
      <c r="C292" s="227" t="s">
        <v>4299</v>
      </c>
      <c r="D292" s="228" t="s">
        <v>4300</v>
      </c>
    </row>
    <row r="293" spans="2:4" ht="15" x14ac:dyDescent="0.25">
      <c r="B293" s="223">
        <v>287</v>
      </c>
      <c r="C293" s="224" t="s">
        <v>4301</v>
      </c>
      <c r="D293" s="225" t="s">
        <v>4302</v>
      </c>
    </row>
    <row r="294" spans="2:4" ht="15" x14ac:dyDescent="0.25">
      <c r="B294" s="226">
        <v>288</v>
      </c>
      <c r="C294" s="227" t="s">
        <v>4303</v>
      </c>
      <c r="D294" s="228" t="s">
        <v>4304</v>
      </c>
    </row>
    <row r="295" spans="2:4" ht="15" x14ac:dyDescent="0.25">
      <c r="B295" s="223">
        <v>289</v>
      </c>
      <c r="C295" s="224" t="s">
        <v>4305</v>
      </c>
      <c r="D295" s="225" t="s">
        <v>4306</v>
      </c>
    </row>
    <row r="296" spans="2:4" ht="15" x14ac:dyDescent="0.25">
      <c r="B296" s="226">
        <v>290</v>
      </c>
      <c r="C296" s="227" t="s">
        <v>4307</v>
      </c>
      <c r="D296" s="228" t="s">
        <v>4308</v>
      </c>
    </row>
    <row r="297" spans="2:4" ht="15" x14ac:dyDescent="0.25">
      <c r="B297" s="223">
        <v>291</v>
      </c>
      <c r="C297" s="224" t="s">
        <v>4309</v>
      </c>
      <c r="D297" s="225" t="s">
        <v>4310</v>
      </c>
    </row>
    <row r="298" spans="2:4" ht="15" x14ac:dyDescent="0.25">
      <c r="B298" s="226">
        <v>292</v>
      </c>
      <c r="C298" s="227" t="s">
        <v>4311</v>
      </c>
      <c r="D298" s="228" t="s">
        <v>4312</v>
      </c>
    </row>
    <row r="299" spans="2:4" ht="15" x14ac:dyDescent="0.25">
      <c r="B299" s="223">
        <v>293</v>
      </c>
      <c r="C299" s="224" t="s">
        <v>4313</v>
      </c>
      <c r="D299" s="225" t="s">
        <v>4314</v>
      </c>
    </row>
    <row r="300" spans="2:4" ht="15" x14ac:dyDescent="0.25">
      <c r="B300" s="226">
        <v>294</v>
      </c>
      <c r="C300" s="227" t="s">
        <v>233</v>
      </c>
      <c r="D300" s="228" t="s">
        <v>234</v>
      </c>
    </row>
    <row r="301" spans="2:4" ht="15" x14ac:dyDescent="0.25">
      <c r="B301" s="223">
        <v>295</v>
      </c>
      <c r="C301" s="224" t="s">
        <v>4315</v>
      </c>
      <c r="D301" s="225" t="s">
        <v>4316</v>
      </c>
    </row>
    <row r="302" spans="2:4" ht="15" x14ac:dyDescent="0.25">
      <c r="B302" s="226">
        <v>296</v>
      </c>
      <c r="C302" s="227" t="s">
        <v>4317</v>
      </c>
      <c r="D302" s="228" t="s">
        <v>4318</v>
      </c>
    </row>
    <row r="303" spans="2:4" ht="15" x14ac:dyDescent="0.25">
      <c r="B303" s="223">
        <v>297</v>
      </c>
      <c r="C303" s="224" t="s">
        <v>4319</v>
      </c>
      <c r="D303" s="225" t="s">
        <v>4320</v>
      </c>
    </row>
    <row r="304" spans="2:4" ht="15" x14ac:dyDescent="0.25">
      <c r="B304" s="226">
        <v>298</v>
      </c>
      <c r="C304" s="227" t="s">
        <v>4321</v>
      </c>
      <c r="D304" s="228" t="s">
        <v>4322</v>
      </c>
    </row>
    <row r="305" spans="2:4" ht="15" x14ac:dyDescent="0.25">
      <c r="B305" s="223">
        <v>299</v>
      </c>
      <c r="C305" s="224" t="s">
        <v>4323</v>
      </c>
      <c r="D305" s="225" t="s">
        <v>4324</v>
      </c>
    </row>
    <row r="306" spans="2:4" ht="15" x14ac:dyDescent="0.25">
      <c r="B306" s="226">
        <v>300</v>
      </c>
      <c r="C306" s="227" t="s">
        <v>4325</v>
      </c>
      <c r="D306" s="228" t="s">
        <v>4326</v>
      </c>
    </row>
    <row r="307" spans="2:4" ht="15" x14ac:dyDescent="0.25">
      <c r="B307" s="223">
        <v>301</v>
      </c>
      <c r="C307" s="224" t="s">
        <v>4327</v>
      </c>
      <c r="D307" s="225" t="s">
        <v>4328</v>
      </c>
    </row>
    <row r="308" spans="2:4" ht="15" x14ac:dyDescent="0.25">
      <c r="B308" s="226">
        <v>302</v>
      </c>
      <c r="C308" s="227" t="s">
        <v>4329</v>
      </c>
      <c r="D308" s="228" t="s">
        <v>4330</v>
      </c>
    </row>
    <row r="309" spans="2:4" ht="15" x14ac:dyDescent="0.25">
      <c r="B309" s="223">
        <v>303</v>
      </c>
      <c r="C309" s="224" t="s">
        <v>4331</v>
      </c>
      <c r="D309" s="225" t="s">
        <v>4332</v>
      </c>
    </row>
    <row r="310" spans="2:4" ht="15" x14ac:dyDescent="0.25">
      <c r="B310" s="226">
        <v>304</v>
      </c>
      <c r="C310" s="227" t="s">
        <v>4333</v>
      </c>
      <c r="D310" s="228" t="s">
        <v>4334</v>
      </c>
    </row>
    <row r="311" spans="2:4" ht="15" x14ac:dyDescent="0.25">
      <c r="B311" s="223">
        <v>305</v>
      </c>
      <c r="C311" s="224" t="s">
        <v>4335</v>
      </c>
      <c r="D311" s="225" t="s">
        <v>4336</v>
      </c>
    </row>
    <row r="312" spans="2:4" ht="15" x14ac:dyDescent="0.25">
      <c r="B312" s="226">
        <v>306</v>
      </c>
      <c r="C312" s="227" t="s">
        <v>249</v>
      </c>
      <c r="D312" s="228" t="s">
        <v>250</v>
      </c>
    </row>
    <row r="313" spans="2:4" ht="15" x14ac:dyDescent="0.25">
      <c r="B313" s="223">
        <v>307</v>
      </c>
      <c r="C313" s="224" t="s">
        <v>4337</v>
      </c>
      <c r="D313" s="225" t="s">
        <v>4338</v>
      </c>
    </row>
    <row r="314" spans="2:4" ht="15" x14ac:dyDescent="0.25">
      <c r="B314" s="226">
        <v>308</v>
      </c>
      <c r="C314" s="227" t="s">
        <v>4339</v>
      </c>
      <c r="D314" s="228" t="s">
        <v>4340</v>
      </c>
    </row>
    <row r="315" spans="2:4" ht="15" x14ac:dyDescent="0.25">
      <c r="B315" s="223">
        <v>309</v>
      </c>
      <c r="C315" s="224" t="s">
        <v>4341</v>
      </c>
      <c r="D315" s="225" t="s">
        <v>4342</v>
      </c>
    </row>
    <row r="316" spans="2:4" ht="15" x14ac:dyDescent="0.25">
      <c r="B316" s="226">
        <v>310</v>
      </c>
      <c r="C316" s="227" t="s">
        <v>4343</v>
      </c>
      <c r="D316" s="228" t="s">
        <v>4344</v>
      </c>
    </row>
    <row r="317" spans="2:4" ht="15" x14ac:dyDescent="0.25">
      <c r="B317" s="223">
        <v>311</v>
      </c>
      <c r="C317" s="224" t="s">
        <v>4345</v>
      </c>
      <c r="D317" s="225" t="s">
        <v>4346</v>
      </c>
    </row>
    <row r="318" spans="2:4" ht="15" x14ac:dyDescent="0.25">
      <c r="B318" s="226">
        <v>312</v>
      </c>
      <c r="C318" s="227" t="s">
        <v>4347</v>
      </c>
      <c r="D318" s="228" t="s">
        <v>4348</v>
      </c>
    </row>
    <row r="319" spans="2:4" ht="15" x14ac:dyDescent="0.25">
      <c r="B319" s="223">
        <v>313</v>
      </c>
      <c r="C319" s="224" t="s">
        <v>4349</v>
      </c>
      <c r="D319" s="225" t="s">
        <v>4350</v>
      </c>
    </row>
    <row r="320" spans="2:4" ht="15" x14ac:dyDescent="0.25">
      <c r="B320" s="226">
        <v>314</v>
      </c>
      <c r="C320" s="227" t="s">
        <v>4351</v>
      </c>
      <c r="D320" s="228" t="s">
        <v>4352</v>
      </c>
    </row>
    <row r="321" spans="2:4" ht="15" x14ac:dyDescent="0.25">
      <c r="B321" s="223">
        <v>315</v>
      </c>
      <c r="C321" s="224" t="s">
        <v>4353</v>
      </c>
      <c r="D321" s="225" t="s">
        <v>4354</v>
      </c>
    </row>
    <row r="322" spans="2:4" ht="15" x14ac:dyDescent="0.25">
      <c r="B322" s="226">
        <v>316</v>
      </c>
      <c r="C322" s="227" t="s">
        <v>4355</v>
      </c>
      <c r="D322" s="228" t="s">
        <v>4356</v>
      </c>
    </row>
    <row r="323" spans="2:4" ht="15" x14ac:dyDescent="0.25">
      <c r="B323" s="223">
        <v>317</v>
      </c>
      <c r="C323" s="224" t="s">
        <v>4357</v>
      </c>
      <c r="D323" s="225" t="s">
        <v>4358</v>
      </c>
    </row>
    <row r="324" spans="2:4" ht="15" x14ac:dyDescent="0.25">
      <c r="B324" s="226">
        <v>318</v>
      </c>
      <c r="C324" s="227" t="s">
        <v>4359</v>
      </c>
      <c r="D324" s="228" t="s">
        <v>4360</v>
      </c>
    </row>
    <row r="325" spans="2:4" ht="15" x14ac:dyDescent="0.25">
      <c r="B325" s="223">
        <v>319</v>
      </c>
      <c r="C325" s="224" t="s">
        <v>4361</v>
      </c>
      <c r="D325" s="225" t="s">
        <v>4362</v>
      </c>
    </row>
    <row r="326" spans="2:4" ht="15" x14ac:dyDescent="0.25">
      <c r="B326" s="226">
        <v>320</v>
      </c>
      <c r="C326" s="227" t="s">
        <v>4363</v>
      </c>
      <c r="D326" s="228" t="s">
        <v>4364</v>
      </c>
    </row>
    <row r="327" spans="2:4" ht="15" x14ac:dyDescent="0.25">
      <c r="B327" s="223">
        <v>321</v>
      </c>
      <c r="C327" s="224" t="s">
        <v>4365</v>
      </c>
      <c r="D327" s="225" t="s">
        <v>4366</v>
      </c>
    </row>
    <row r="328" spans="2:4" ht="15" x14ac:dyDescent="0.25">
      <c r="B328" s="226">
        <v>322</v>
      </c>
      <c r="C328" s="227" t="s">
        <v>4367</v>
      </c>
      <c r="D328" s="228" t="s">
        <v>4368</v>
      </c>
    </row>
    <row r="329" spans="2:4" ht="15" x14ac:dyDescent="0.25">
      <c r="B329" s="223">
        <v>323</v>
      </c>
      <c r="C329" s="224" t="s">
        <v>4369</v>
      </c>
      <c r="D329" s="225" t="s">
        <v>4370</v>
      </c>
    </row>
    <row r="330" spans="2:4" ht="15" x14ac:dyDescent="0.25">
      <c r="B330" s="226">
        <v>324</v>
      </c>
      <c r="C330" s="227" t="s">
        <v>4371</v>
      </c>
      <c r="D330" s="228" t="s">
        <v>4372</v>
      </c>
    </row>
    <row r="331" spans="2:4" ht="15" x14ac:dyDescent="0.25">
      <c r="B331" s="223">
        <v>325</v>
      </c>
      <c r="C331" s="224" t="s">
        <v>4373</v>
      </c>
      <c r="D331" s="225" t="s">
        <v>4374</v>
      </c>
    </row>
    <row r="332" spans="2:4" ht="15" x14ac:dyDescent="0.25">
      <c r="B332" s="226">
        <v>326</v>
      </c>
      <c r="C332" s="227" t="s">
        <v>4375</v>
      </c>
      <c r="D332" s="228" t="s">
        <v>4376</v>
      </c>
    </row>
    <row r="333" spans="2:4" ht="15" x14ac:dyDescent="0.25">
      <c r="B333" s="223">
        <v>327</v>
      </c>
      <c r="C333" s="224" t="s">
        <v>4377</v>
      </c>
      <c r="D333" s="225" t="s">
        <v>4378</v>
      </c>
    </row>
    <row r="334" spans="2:4" ht="15" x14ac:dyDescent="0.25">
      <c r="B334" s="226">
        <v>328</v>
      </c>
      <c r="C334" s="227" t="s">
        <v>4379</v>
      </c>
      <c r="D334" s="228" t="s">
        <v>4380</v>
      </c>
    </row>
    <row r="335" spans="2:4" ht="15" x14ac:dyDescent="0.25">
      <c r="B335" s="223">
        <v>329</v>
      </c>
      <c r="C335" s="224" t="s">
        <v>319</v>
      </c>
      <c r="D335" s="225" t="s">
        <v>4381</v>
      </c>
    </row>
    <row r="336" spans="2:4" ht="15" x14ac:dyDescent="0.25">
      <c r="B336" s="226">
        <v>330</v>
      </c>
      <c r="C336" s="227" t="s">
        <v>4382</v>
      </c>
      <c r="D336" s="228" t="s">
        <v>4383</v>
      </c>
    </row>
    <row r="337" spans="2:4" ht="15" x14ac:dyDescent="0.25">
      <c r="B337" s="223">
        <v>331</v>
      </c>
      <c r="C337" s="224" t="s">
        <v>4384</v>
      </c>
      <c r="D337" s="225" t="s">
        <v>4385</v>
      </c>
    </row>
    <row r="338" spans="2:4" ht="15" x14ac:dyDescent="0.25">
      <c r="B338" s="226">
        <v>332</v>
      </c>
      <c r="C338" s="227" t="s">
        <v>4386</v>
      </c>
      <c r="D338" s="228" t="s">
        <v>4387</v>
      </c>
    </row>
    <row r="339" spans="2:4" ht="15" x14ac:dyDescent="0.25">
      <c r="B339" s="223">
        <v>333</v>
      </c>
      <c r="C339" s="224" t="s">
        <v>327</v>
      </c>
      <c r="D339" s="225" t="s">
        <v>4388</v>
      </c>
    </row>
    <row r="340" spans="2:4" ht="15" x14ac:dyDescent="0.25">
      <c r="B340" s="226">
        <v>334</v>
      </c>
      <c r="C340" s="227" t="s">
        <v>330</v>
      </c>
      <c r="D340" s="228" t="s">
        <v>331</v>
      </c>
    </row>
    <row r="341" spans="2:4" ht="15" x14ac:dyDescent="0.25">
      <c r="B341" s="223">
        <v>335</v>
      </c>
      <c r="C341" s="224" t="s">
        <v>4389</v>
      </c>
      <c r="D341" s="225" t="s">
        <v>4390</v>
      </c>
    </row>
    <row r="342" spans="2:4" ht="15" x14ac:dyDescent="0.25">
      <c r="B342" s="226">
        <v>336</v>
      </c>
      <c r="C342" s="227" t="s">
        <v>4391</v>
      </c>
      <c r="D342" s="228" t="s">
        <v>4392</v>
      </c>
    </row>
    <row r="343" spans="2:4" ht="15" x14ac:dyDescent="0.25">
      <c r="B343" s="223">
        <v>337</v>
      </c>
      <c r="C343" s="224" t="s">
        <v>4393</v>
      </c>
      <c r="D343" s="225" t="s">
        <v>4394</v>
      </c>
    </row>
    <row r="344" spans="2:4" ht="15" x14ac:dyDescent="0.25">
      <c r="B344" s="226">
        <v>338</v>
      </c>
      <c r="C344" s="227" t="s">
        <v>4395</v>
      </c>
      <c r="D344" s="228" t="s">
        <v>4396</v>
      </c>
    </row>
    <row r="345" spans="2:4" ht="15" x14ac:dyDescent="0.25">
      <c r="B345" s="223">
        <v>339</v>
      </c>
      <c r="C345" s="224" t="s">
        <v>4397</v>
      </c>
      <c r="D345" s="225" t="s">
        <v>4398</v>
      </c>
    </row>
    <row r="346" spans="2:4" ht="15" x14ac:dyDescent="0.25">
      <c r="B346" s="226">
        <v>340</v>
      </c>
      <c r="C346" s="227" t="s">
        <v>4399</v>
      </c>
      <c r="D346" s="228" t="s">
        <v>4400</v>
      </c>
    </row>
    <row r="347" spans="2:4" ht="15" x14ac:dyDescent="0.25">
      <c r="B347" s="223">
        <v>341</v>
      </c>
      <c r="C347" s="224" t="s">
        <v>4401</v>
      </c>
      <c r="D347" s="225" t="s">
        <v>4402</v>
      </c>
    </row>
    <row r="348" spans="2:4" ht="15" x14ac:dyDescent="0.25">
      <c r="B348" s="226">
        <v>342</v>
      </c>
      <c r="C348" s="227" t="s">
        <v>4403</v>
      </c>
      <c r="D348" s="228" t="s">
        <v>4404</v>
      </c>
    </row>
    <row r="349" spans="2:4" ht="15" x14ac:dyDescent="0.25">
      <c r="B349" s="223">
        <v>343</v>
      </c>
      <c r="C349" s="224" t="s">
        <v>4405</v>
      </c>
      <c r="D349" s="225" t="s">
        <v>4406</v>
      </c>
    </row>
    <row r="350" spans="2:4" ht="15" x14ac:dyDescent="0.25">
      <c r="B350" s="226">
        <v>344</v>
      </c>
      <c r="C350" s="227" t="s">
        <v>4407</v>
      </c>
      <c r="D350" s="228" t="s">
        <v>4408</v>
      </c>
    </row>
    <row r="351" spans="2:4" ht="15" x14ac:dyDescent="0.25">
      <c r="B351" s="223">
        <v>345</v>
      </c>
      <c r="C351" s="224" t="s">
        <v>4409</v>
      </c>
      <c r="D351" s="225" t="s">
        <v>4410</v>
      </c>
    </row>
    <row r="352" spans="2:4" ht="15" x14ac:dyDescent="0.25">
      <c r="B352" s="226">
        <v>346</v>
      </c>
      <c r="C352" s="227" t="s">
        <v>4411</v>
      </c>
      <c r="D352" s="228" t="s">
        <v>4412</v>
      </c>
    </row>
    <row r="353" spans="2:4" ht="15" x14ac:dyDescent="0.25">
      <c r="B353" s="223">
        <v>347</v>
      </c>
      <c r="C353" s="224" t="s">
        <v>4413</v>
      </c>
      <c r="D353" s="225" t="s">
        <v>4414</v>
      </c>
    </row>
    <row r="354" spans="2:4" ht="15" x14ac:dyDescent="0.25">
      <c r="B354" s="226">
        <v>348</v>
      </c>
      <c r="C354" s="227" t="s">
        <v>4415</v>
      </c>
      <c r="D354" s="228" t="s">
        <v>4416</v>
      </c>
    </row>
    <row r="355" spans="2:4" ht="15" x14ac:dyDescent="0.25">
      <c r="B355" s="223">
        <v>349</v>
      </c>
      <c r="C355" s="224" t="s">
        <v>4417</v>
      </c>
      <c r="D355" s="225" t="s">
        <v>4418</v>
      </c>
    </row>
    <row r="356" spans="2:4" ht="15" x14ac:dyDescent="0.25">
      <c r="B356" s="226">
        <v>350</v>
      </c>
      <c r="C356" s="227" t="s">
        <v>369</v>
      </c>
      <c r="D356" s="228" t="s">
        <v>4419</v>
      </c>
    </row>
    <row r="357" spans="2:4" ht="15" x14ac:dyDescent="0.25">
      <c r="B357" s="223">
        <v>351</v>
      </c>
      <c r="C357" s="224" t="s">
        <v>4420</v>
      </c>
      <c r="D357" s="225" t="s">
        <v>4421</v>
      </c>
    </row>
    <row r="358" spans="2:4" ht="15" x14ac:dyDescent="0.25">
      <c r="B358" s="226">
        <v>352</v>
      </c>
      <c r="C358" s="227" t="s">
        <v>4422</v>
      </c>
      <c r="D358" s="228" t="s">
        <v>4423</v>
      </c>
    </row>
    <row r="359" spans="2:4" ht="15" x14ac:dyDescent="0.25">
      <c r="B359" s="223">
        <v>353</v>
      </c>
      <c r="C359" s="224" t="s">
        <v>4424</v>
      </c>
      <c r="D359" s="225" t="s">
        <v>4425</v>
      </c>
    </row>
    <row r="360" spans="2:4" ht="15" x14ac:dyDescent="0.25">
      <c r="B360" s="226">
        <v>354</v>
      </c>
      <c r="C360" s="227" t="s">
        <v>4426</v>
      </c>
      <c r="D360" s="228" t="s">
        <v>4427</v>
      </c>
    </row>
    <row r="361" spans="2:4" ht="15" x14ac:dyDescent="0.25">
      <c r="B361" s="223">
        <v>355</v>
      </c>
      <c r="C361" s="224" t="s">
        <v>277</v>
      </c>
      <c r="D361" s="225" t="s">
        <v>278</v>
      </c>
    </row>
    <row r="362" spans="2:4" ht="15" x14ac:dyDescent="0.25">
      <c r="B362" s="226">
        <v>356</v>
      </c>
      <c r="C362" s="227" t="s">
        <v>4428</v>
      </c>
      <c r="D362" s="228" t="s">
        <v>4429</v>
      </c>
    </row>
    <row r="363" spans="2:4" ht="15" x14ac:dyDescent="0.25">
      <c r="B363" s="223">
        <v>357</v>
      </c>
      <c r="C363" s="224" t="s">
        <v>4430</v>
      </c>
      <c r="D363" s="225" t="s">
        <v>4431</v>
      </c>
    </row>
    <row r="364" spans="2:4" ht="15" x14ac:dyDescent="0.25">
      <c r="B364" s="226">
        <v>358</v>
      </c>
      <c r="C364" s="227" t="s">
        <v>4432</v>
      </c>
      <c r="D364" s="228" t="s">
        <v>4433</v>
      </c>
    </row>
    <row r="365" spans="2:4" ht="15" x14ac:dyDescent="0.25">
      <c r="B365" s="223">
        <v>359</v>
      </c>
      <c r="C365" s="224" t="s">
        <v>363</v>
      </c>
      <c r="D365" s="225" t="s">
        <v>4434</v>
      </c>
    </row>
    <row r="366" spans="2:4" ht="15" x14ac:dyDescent="0.25">
      <c r="B366" s="226">
        <v>360</v>
      </c>
      <c r="C366" s="227" t="s">
        <v>4435</v>
      </c>
      <c r="D366" s="228" t="s">
        <v>4436</v>
      </c>
    </row>
    <row r="367" spans="2:4" ht="15" x14ac:dyDescent="0.25">
      <c r="B367" s="223">
        <v>361</v>
      </c>
      <c r="C367" s="224" t="s">
        <v>4437</v>
      </c>
      <c r="D367" s="225" t="s">
        <v>4438</v>
      </c>
    </row>
    <row r="368" spans="2:4" ht="15" x14ac:dyDescent="0.25">
      <c r="B368" s="226">
        <v>362</v>
      </c>
      <c r="C368" s="227" t="s">
        <v>4439</v>
      </c>
      <c r="D368" s="228" t="s">
        <v>4440</v>
      </c>
    </row>
    <row r="369" spans="2:4" ht="15" x14ac:dyDescent="0.25">
      <c r="B369" s="223">
        <v>363</v>
      </c>
      <c r="C369" s="224" t="s">
        <v>4441</v>
      </c>
      <c r="D369" s="225" t="s">
        <v>4442</v>
      </c>
    </row>
    <row r="370" spans="2:4" ht="15" x14ac:dyDescent="0.25">
      <c r="B370" s="226">
        <v>364</v>
      </c>
      <c r="C370" s="227" t="s">
        <v>4443</v>
      </c>
      <c r="D370" s="228" t="s">
        <v>4444</v>
      </c>
    </row>
    <row r="371" spans="2:4" ht="15" x14ac:dyDescent="0.25">
      <c r="B371" s="223">
        <v>365</v>
      </c>
      <c r="C371" s="224" t="s">
        <v>4445</v>
      </c>
      <c r="D371" s="225" t="s">
        <v>4446</v>
      </c>
    </row>
    <row r="372" spans="2:4" ht="15" x14ac:dyDescent="0.25">
      <c r="B372" s="226">
        <v>366</v>
      </c>
      <c r="C372" s="227" t="s">
        <v>4447</v>
      </c>
      <c r="D372" s="228" t="s">
        <v>4448</v>
      </c>
    </row>
    <row r="373" spans="2:4" ht="15" x14ac:dyDescent="0.25">
      <c r="B373" s="223">
        <v>367</v>
      </c>
      <c r="C373" s="224" t="s">
        <v>4449</v>
      </c>
      <c r="D373" s="225" t="s">
        <v>4450</v>
      </c>
    </row>
    <row r="374" spans="2:4" ht="15" x14ac:dyDescent="0.25">
      <c r="B374" s="226">
        <v>368</v>
      </c>
      <c r="C374" s="227" t="s">
        <v>4451</v>
      </c>
      <c r="D374" s="228" t="s">
        <v>4452</v>
      </c>
    </row>
    <row r="375" spans="2:4" ht="15" x14ac:dyDescent="0.25">
      <c r="B375" s="223">
        <v>369</v>
      </c>
      <c r="C375" s="224" t="s">
        <v>4453</v>
      </c>
      <c r="D375" s="225" t="s">
        <v>4454</v>
      </c>
    </row>
    <row r="376" spans="2:4" ht="15" x14ac:dyDescent="0.25">
      <c r="B376" s="226">
        <v>370</v>
      </c>
      <c r="C376" s="227" t="s">
        <v>4455</v>
      </c>
      <c r="D376" s="228" t="s">
        <v>4456</v>
      </c>
    </row>
    <row r="377" spans="2:4" ht="15" x14ac:dyDescent="0.25">
      <c r="B377" s="223">
        <v>371</v>
      </c>
      <c r="C377" s="224" t="s">
        <v>4457</v>
      </c>
      <c r="D377" s="225" t="s">
        <v>4458</v>
      </c>
    </row>
    <row r="378" spans="2:4" ht="15" x14ac:dyDescent="0.25">
      <c r="B378" s="226">
        <v>372</v>
      </c>
      <c r="C378" s="227" t="s">
        <v>4459</v>
      </c>
      <c r="D378" s="228" t="s">
        <v>4460</v>
      </c>
    </row>
    <row r="379" spans="2:4" ht="15" x14ac:dyDescent="0.25">
      <c r="B379" s="223">
        <v>373</v>
      </c>
      <c r="C379" s="224" t="s">
        <v>4461</v>
      </c>
      <c r="D379" s="225" t="s">
        <v>4462</v>
      </c>
    </row>
    <row r="380" spans="2:4" ht="15" x14ac:dyDescent="0.25">
      <c r="B380" s="226">
        <v>374</v>
      </c>
      <c r="C380" s="227" t="s">
        <v>4463</v>
      </c>
      <c r="D380" s="228" t="s">
        <v>4464</v>
      </c>
    </row>
    <row r="381" spans="2:4" ht="15" x14ac:dyDescent="0.25">
      <c r="B381" s="223">
        <v>375</v>
      </c>
      <c r="C381" s="224" t="s">
        <v>4465</v>
      </c>
      <c r="D381" s="225" t="s">
        <v>4466</v>
      </c>
    </row>
    <row r="382" spans="2:4" ht="15" x14ac:dyDescent="0.25">
      <c r="B382" s="226">
        <v>376</v>
      </c>
      <c r="C382" s="227" t="s">
        <v>4467</v>
      </c>
      <c r="D382" s="228" t="s">
        <v>4468</v>
      </c>
    </row>
    <row r="383" spans="2:4" ht="15" x14ac:dyDescent="0.25">
      <c r="B383" s="223">
        <v>377</v>
      </c>
      <c r="C383" s="224" t="s">
        <v>4469</v>
      </c>
      <c r="D383" s="225" t="s">
        <v>4470</v>
      </c>
    </row>
    <row r="384" spans="2:4" ht="15" x14ac:dyDescent="0.25">
      <c r="B384" s="226">
        <v>378</v>
      </c>
      <c r="C384" s="227" t="s">
        <v>4471</v>
      </c>
      <c r="D384" s="228" t="s">
        <v>4472</v>
      </c>
    </row>
    <row r="385" spans="2:4" ht="15" x14ac:dyDescent="0.25">
      <c r="B385" s="223">
        <v>379</v>
      </c>
      <c r="C385" s="224" t="s">
        <v>4473</v>
      </c>
      <c r="D385" s="225" t="s">
        <v>4474</v>
      </c>
    </row>
    <row r="386" spans="2:4" ht="15" x14ac:dyDescent="0.25">
      <c r="B386" s="226">
        <v>380</v>
      </c>
      <c r="C386" s="227" t="s">
        <v>4475</v>
      </c>
      <c r="D386" s="228" t="s">
        <v>4476</v>
      </c>
    </row>
    <row r="387" spans="2:4" ht="15" x14ac:dyDescent="0.25">
      <c r="B387" s="223">
        <v>381</v>
      </c>
      <c r="C387" s="224" t="s">
        <v>4477</v>
      </c>
      <c r="D387" s="225" t="s">
        <v>4478</v>
      </c>
    </row>
    <row r="388" spans="2:4" ht="15" x14ac:dyDescent="0.25">
      <c r="B388" s="226">
        <v>382</v>
      </c>
      <c r="C388" s="227" t="s">
        <v>4479</v>
      </c>
      <c r="D388" s="228" t="s">
        <v>4480</v>
      </c>
    </row>
    <row r="389" spans="2:4" ht="15" x14ac:dyDescent="0.25">
      <c r="B389" s="223">
        <v>383</v>
      </c>
      <c r="C389" s="224" t="s">
        <v>139</v>
      </c>
      <c r="D389" s="225" t="s">
        <v>140</v>
      </c>
    </row>
    <row r="390" spans="2:4" ht="15" x14ac:dyDescent="0.25">
      <c r="B390" s="226">
        <v>384</v>
      </c>
      <c r="C390" s="227" t="s">
        <v>4481</v>
      </c>
      <c r="D390" s="228" t="s">
        <v>4482</v>
      </c>
    </row>
    <row r="391" spans="2:4" ht="15" x14ac:dyDescent="0.25">
      <c r="B391" s="223">
        <v>385</v>
      </c>
      <c r="C391" s="224" t="s">
        <v>4483</v>
      </c>
      <c r="D391" s="225" t="s">
        <v>4484</v>
      </c>
    </row>
    <row r="392" spans="2:4" ht="15" x14ac:dyDescent="0.25">
      <c r="B392" s="226">
        <v>386</v>
      </c>
      <c r="C392" s="227" t="s">
        <v>4485</v>
      </c>
      <c r="D392" s="228" t="s">
        <v>4486</v>
      </c>
    </row>
    <row r="393" spans="2:4" ht="15" x14ac:dyDescent="0.25">
      <c r="B393" s="223">
        <v>387</v>
      </c>
      <c r="C393" s="224" t="s">
        <v>4487</v>
      </c>
      <c r="D393" s="225" t="s">
        <v>4488</v>
      </c>
    </row>
    <row r="394" spans="2:4" ht="15" x14ac:dyDescent="0.25">
      <c r="B394" s="226">
        <v>388</v>
      </c>
      <c r="C394" s="227" t="s">
        <v>4489</v>
      </c>
      <c r="D394" s="228" t="s">
        <v>4490</v>
      </c>
    </row>
    <row r="395" spans="2:4" ht="15" x14ac:dyDescent="0.25">
      <c r="B395" s="223">
        <v>389</v>
      </c>
      <c r="C395" s="224" t="s">
        <v>4491</v>
      </c>
      <c r="D395" s="225" t="s">
        <v>4492</v>
      </c>
    </row>
    <row r="396" spans="2:4" ht="15" x14ac:dyDescent="0.25">
      <c r="B396" s="226">
        <v>390</v>
      </c>
      <c r="C396" s="227" t="s">
        <v>4493</v>
      </c>
      <c r="D396" s="228" t="s">
        <v>4494</v>
      </c>
    </row>
    <row r="397" spans="2:4" ht="15" x14ac:dyDescent="0.25">
      <c r="B397" s="223">
        <v>391</v>
      </c>
      <c r="C397" s="224" t="s">
        <v>4495</v>
      </c>
      <c r="D397" s="225" t="s">
        <v>4496</v>
      </c>
    </row>
    <row r="398" spans="2:4" ht="15" x14ac:dyDescent="0.25">
      <c r="B398" s="226">
        <v>392</v>
      </c>
      <c r="C398" s="227" t="s">
        <v>4497</v>
      </c>
      <c r="D398" s="228" t="s">
        <v>4498</v>
      </c>
    </row>
    <row r="399" spans="2:4" ht="15" x14ac:dyDescent="0.25">
      <c r="B399" s="223">
        <v>393</v>
      </c>
      <c r="C399" s="224" t="s">
        <v>4499</v>
      </c>
      <c r="D399" s="225" t="s">
        <v>4500</v>
      </c>
    </row>
    <row r="400" spans="2:4" ht="15" x14ac:dyDescent="0.25">
      <c r="B400" s="226">
        <v>394</v>
      </c>
      <c r="C400" s="227" t="s">
        <v>4501</v>
      </c>
      <c r="D400" s="228" t="s">
        <v>4502</v>
      </c>
    </row>
    <row r="401" spans="2:4" ht="15" x14ac:dyDescent="0.25">
      <c r="B401" s="223">
        <v>395</v>
      </c>
      <c r="C401" s="224" t="s">
        <v>4503</v>
      </c>
      <c r="D401" s="225" t="s">
        <v>4504</v>
      </c>
    </row>
    <row r="402" spans="2:4" ht="15" x14ac:dyDescent="0.25">
      <c r="B402" s="226">
        <v>396</v>
      </c>
      <c r="C402" s="227" t="s">
        <v>4505</v>
      </c>
      <c r="D402" s="228" t="s">
        <v>4506</v>
      </c>
    </row>
    <row r="403" spans="2:4" ht="15" x14ac:dyDescent="0.25">
      <c r="B403" s="223">
        <v>397</v>
      </c>
      <c r="C403" s="224" t="s">
        <v>4507</v>
      </c>
      <c r="D403" s="225" t="s">
        <v>4508</v>
      </c>
    </row>
    <row r="404" spans="2:4" ht="15" x14ac:dyDescent="0.25">
      <c r="B404" s="226">
        <v>398</v>
      </c>
      <c r="C404" s="227" t="s">
        <v>4509</v>
      </c>
      <c r="D404" s="228" t="s">
        <v>4510</v>
      </c>
    </row>
    <row r="405" spans="2:4" ht="15" x14ac:dyDescent="0.25">
      <c r="B405" s="223">
        <v>399</v>
      </c>
      <c r="C405" s="224" t="s">
        <v>4511</v>
      </c>
      <c r="D405" s="225" t="s">
        <v>4512</v>
      </c>
    </row>
    <row r="406" spans="2:4" ht="15" x14ac:dyDescent="0.25">
      <c r="B406" s="226">
        <v>400</v>
      </c>
      <c r="C406" s="227" t="s">
        <v>4513</v>
      </c>
      <c r="D406" s="228" t="s">
        <v>4514</v>
      </c>
    </row>
    <row r="407" spans="2:4" ht="15" x14ac:dyDescent="0.25">
      <c r="B407" s="223">
        <v>401</v>
      </c>
      <c r="C407" s="224" t="s">
        <v>4515</v>
      </c>
      <c r="D407" s="225" t="s">
        <v>4516</v>
      </c>
    </row>
    <row r="408" spans="2:4" ht="15" x14ac:dyDescent="0.25">
      <c r="B408" s="226">
        <v>402</v>
      </c>
      <c r="C408" s="227" t="s">
        <v>4517</v>
      </c>
      <c r="D408" s="228" t="s">
        <v>4518</v>
      </c>
    </row>
    <row r="409" spans="2:4" ht="15" x14ac:dyDescent="0.25">
      <c r="B409" s="223">
        <v>403</v>
      </c>
      <c r="C409" s="224" t="s">
        <v>4519</v>
      </c>
      <c r="D409" s="225" t="s">
        <v>4520</v>
      </c>
    </row>
    <row r="410" spans="2:4" ht="15" x14ac:dyDescent="0.25">
      <c r="B410" s="226">
        <v>404</v>
      </c>
      <c r="C410" s="227" t="s">
        <v>4521</v>
      </c>
      <c r="D410" s="228" t="s">
        <v>4522</v>
      </c>
    </row>
    <row r="411" spans="2:4" ht="15" x14ac:dyDescent="0.25">
      <c r="B411" s="223">
        <v>405</v>
      </c>
      <c r="C411" s="224" t="s">
        <v>4523</v>
      </c>
      <c r="D411" s="225" t="s">
        <v>4524</v>
      </c>
    </row>
    <row r="412" spans="2:4" ht="15" x14ac:dyDescent="0.25">
      <c r="B412" s="226">
        <v>406</v>
      </c>
      <c r="C412" s="227" t="s">
        <v>4525</v>
      </c>
      <c r="D412" s="228" t="s">
        <v>4526</v>
      </c>
    </row>
    <row r="413" spans="2:4" ht="15" x14ac:dyDescent="0.25">
      <c r="B413" s="223">
        <v>407</v>
      </c>
      <c r="C413" s="224" t="s">
        <v>4527</v>
      </c>
      <c r="D413" s="225" t="s">
        <v>4528</v>
      </c>
    </row>
    <row r="414" spans="2:4" ht="15" x14ac:dyDescent="0.25">
      <c r="B414" s="226">
        <v>408</v>
      </c>
      <c r="C414" s="227" t="s">
        <v>4529</v>
      </c>
      <c r="D414" s="228" t="s">
        <v>4530</v>
      </c>
    </row>
    <row r="415" spans="2:4" ht="15" x14ac:dyDescent="0.25">
      <c r="B415" s="223">
        <v>409</v>
      </c>
      <c r="C415" s="224" t="s">
        <v>4531</v>
      </c>
      <c r="D415" s="225" t="s">
        <v>4532</v>
      </c>
    </row>
    <row r="416" spans="2:4" ht="15" x14ac:dyDescent="0.25">
      <c r="B416" s="226">
        <v>410</v>
      </c>
      <c r="C416" s="227" t="s">
        <v>4533</v>
      </c>
      <c r="D416" s="228" t="s">
        <v>4534</v>
      </c>
    </row>
    <row r="417" spans="2:4" ht="15" x14ac:dyDescent="0.25">
      <c r="B417" s="223">
        <v>411</v>
      </c>
      <c r="C417" s="224" t="s">
        <v>4535</v>
      </c>
      <c r="D417" s="225" t="s">
        <v>4536</v>
      </c>
    </row>
    <row r="418" spans="2:4" ht="15" x14ac:dyDescent="0.25">
      <c r="B418" s="226">
        <v>412</v>
      </c>
      <c r="C418" s="227" t="s">
        <v>4537</v>
      </c>
      <c r="D418" s="228" t="s">
        <v>4538</v>
      </c>
    </row>
    <row r="419" spans="2:4" ht="15" x14ac:dyDescent="0.25">
      <c r="B419" s="223">
        <v>413</v>
      </c>
      <c r="C419" s="224" t="s">
        <v>4539</v>
      </c>
      <c r="D419" s="225" t="s">
        <v>4540</v>
      </c>
    </row>
    <row r="420" spans="2:4" ht="15" x14ac:dyDescent="0.25">
      <c r="B420" s="226">
        <v>414</v>
      </c>
      <c r="C420" s="227" t="s">
        <v>4541</v>
      </c>
      <c r="D420" s="228" t="s">
        <v>4542</v>
      </c>
    </row>
    <row r="421" spans="2:4" ht="15" x14ac:dyDescent="0.25">
      <c r="B421" s="223">
        <v>415</v>
      </c>
      <c r="C421" s="224" t="s">
        <v>143</v>
      </c>
      <c r="D421" s="225" t="s">
        <v>4543</v>
      </c>
    </row>
    <row r="422" spans="2:4" ht="15" x14ac:dyDescent="0.25">
      <c r="B422" s="226">
        <v>416</v>
      </c>
      <c r="C422" s="227" t="s">
        <v>4544</v>
      </c>
      <c r="D422" s="228" t="s">
        <v>4545</v>
      </c>
    </row>
    <row r="423" spans="2:4" ht="15" x14ac:dyDescent="0.25">
      <c r="B423" s="223">
        <v>417</v>
      </c>
      <c r="C423" s="224" t="s">
        <v>4546</v>
      </c>
      <c r="D423" s="225" t="s">
        <v>4547</v>
      </c>
    </row>
    <row r="424" spans="2:4" ht="15" x14ac:dyDescent="0.25">
      <c r="B424" s="226">
        <v>418</v>
      </c>
      <c r="C424" s="227" t="s">
        <v>4548</v>
      </c>
      <c r="D424" s="228" t="s">
        <v>4549</v>
      </c>
    </row>
    <row r="425" spans="2:4" ht="15" x14ac:dyDescent="0.25">
      <c r="B425" s="223">
        <v>419</v>
      </c>
      <c r="C425" s="224" t="s">
        <v>4550</v>
      </c>
      <c r="D425" s="225" t="s">
        <v>4551</v>
      </c>
    </row>
    <row r="426" spans="2:4" ht="15" x14ac:dyDescent="0.25">
      <c r="B426" s="226">
        <v>420</v>
      </c>
      <c r="C426" s="227" t="s">
        <v>153</v>
      </c>
      <c r="D426" s="228" t="s">
        <v>154</v>
      </c>
    </row>
    <row r="427" spans="2:4" ht="15" x14ac:dyDescent="0.25">
      <c r="B427" s="223">
        <v>421</v>
      </c>
      <c r="C427" s="224" t="s">
        <v>157</v>
      </c>
      <c r="D427" s="225" t="s">
        <v>4552</v>
      </c>
    </row>
    <row r="428" spans="2:4" ht="15" x14ac:dyDescent="0.25">
      <c r="B428" s="226">
        <v>422</v>
      </c>
      <c r="C428" s="227" t="s">
        <v>159</v>
      </c>
      <c r="D428" s="228" t="s">
        <v>4553</v>
      </c>
    </row>
    <row r="429" spans="2:4" ht="15" x14ac:dyDescent="0.25">
      <c r="B429" s="223">
        <v>423</v>
      </c>
      <c r="C429" s="224" t="s">
        <v>4554</v>
      </c>
      <c r="D429" s="225" t="s">
        <v>4555</v>
      </c>
    </row>
    <row r="430" spans="2:4" ht="15" x14ac:dyDescent="0.25">
      <c r="B430" s="226">
        <v>424</v>
      </c>
      <c r="C430" s="227" t="s">
        <v>4556</v>
      </c>
      <c r="D430" s="228" t="s">
        <v>4557</v>
      </c>
    </row>
    <row r="431" spans="2:4" ht="15" x14ac:dyDescent="0.25">
      <c r="B431" s="223">
        <v>425</v>
      </c>
      <c r="C431" s="224" t="s">
        <v>4558</v>
      </c>
      <c r="D431" s="225" t="s">
        <v>4559</v>
      </c>
    </row>
    <row r="432" spans="2:4" ht="15" x14ac:dyDescent="0.25">
      <c r="B432" s="226">
        <v>426</v>
      </c>
      <c r="C432" s="227" t="s">
        <v>4560</v>
      </c>
      <c r="D432" s="228" t="s">
        <v>4561</v>
      </c>
    </row>
    <row r="433" spans="2:4" ht="15" x14ac:dyDescent="0.25">
      <c r="B433" s="223">
        <v>427</v>
      </c>
      <c r="C433" s="224" t="s">
        <v>4562</v>
      </c>
      <c r="D433" s="225" t="s">
        <v>4563</v>
      </c>
    </row>
    <row r="434" spans="2:4" ht="15" x14ac:dyDescent="0.25">
      <c r="B434" s="226">
        <v>428</v>
      </c>
      <c r="C434" s="227" t="s">
        <v>4564</v>
      </c>
      <c r="D434" s="228" t="s">
        <v>4565</v>
      </c>
    </row>
    <row r="435" spans="2:4" ht="15" x14ac:dyDescent="0.25">
      <c r="B435" s="223">
        <v>429</v>
      </c>
      <c r="C435" s="224" t="s">
        <v>4566</v>
      </c>
      <c r="D435" s="225" t="s">
        <v>4567</v>
      </c>
    </row>
    <row r="436" spans="2:4" ht="15" x14ac:dyDescent="0.25">
      <c r="B436" s="226">
        <v>430</v>
      </c>
      <c r="C436" s="227" t="s">
        <v>4568</v>
      </c>
      <c r="D436" s="228" t="s">
        <v>4569</v>
      </c>
    </row>
    <row r="437" spans="2:4" ht="15" x14ac:dyDescent="0.25">
      <c r="B437" s="223">
        <v>431</v>
      </c>
      <c r="C437" s="224" t="s">
        <v>4570</v>
      </c>
      <c r="D437" s="225" t="s">
        <v>4571</v>
      </c>
    </row>
    <row r="438" spans="2:4" ht="15" x14ac:dyDescent="0.25">
      <c r="B438" s="226">
        <v>432</v>
      </c>
      <c r="C438" s="227" t="s">
        <v>4572</v>
      </c>
      <c r="D438" s="228" t="s">
        <v>4573</v>
      </c>
    </row>
    <row r="439" spans="2:4" ht="15" x14ac:dyDescent="0.25">
      <c r="B439" s="223">
        <v>433</v>
      </c>
      <c r="C439" s="224" t="s">
        <v>4574</v>
      </c>
      <c r="D439" s="225" t="s">
        <v>4575</v>
      </c>
    </row>
    <row r="440" spans="2:4" ht="15" x14ac:dyDescent="0.25">
      <c r="B440" s="226">
        <v>434</v>
      </c>
      <c r="C440" s="227" t="s">
        <v>4576</v>
      </c>
      <c r="D440" s="228" t="s">
        <v>4577</v>
      </c>
    </row>
    <row r="441" spans="2:4" ht="15" x14ac:dyDescent="0.25">
      <c r="B441" s="223">
        <v>435</v>
      </c>
      <c r="C441" s="224" t="s">
        <v>4578</v>
      </c>
      <c r="D441" s="225" t="s">
        <v>4579</v>
      </c>
    </row>
    <row r="442" spans="2:4" ht="15" x14ac:dyDescent="0.25">
      <c r="B442" s="226">
        <v>436</v>
      </c>
      <c r="C442" s="227" t="s">
        <v>4580</v>
      </c>
      <c r="D442" s="228" t="s">
        <v>4581</v>
      </c>
    </row>
    <row r="443" spans="2:4" ht="15" x14ac:dyDescent="0.25">
      <c r="B443" s="223">
        <v>437</v>
      </c>
      <c r="C443" s="224" t="s">
        <v>4582</v>
      </c>
      <c r="D443" s="225" t="s">
        <v>4583</v>
      </c>
    </row>
    <row r="444" spans="2:4" ht="15" x14ac:dyDescent="0.25">
      <c r="B444" s="226">
        <v>438</v>
      </c>
      <c r="C444" s="227" t="s">
        <v>4584</v>
      </c>
      <c r="D444" s="228" t="s">
        <v>4585</v>
      </c>
    </row>
    <row r="445" spans="2:4" ht="15" x14ac:dyDescent="0.25">
      <c r="B445" s="223">
        <v>439</v>
      </c>
      <c r="C445" s="224" t="s">
        <v>4586</v>
      </c>
      <c r="D445" s="225" t="s">
        <v>4587</v>
      </c>
    </row>
    <row r="446" spans="2:4" ht="15" x14ac:dyDescent="0.25">
      <c r="B446" s="226">
        <v>440</v>
      </c>
      <c r="C446" s="227" t="s">
        <v>4588</v>
      </c>
      <c r="D446" s="228" t="s">
        <v>4589</v>
      </c>
    </row>
    <row r="447" spans="2:4" ht="15" x14ac:dyDescent="0.25">
      <c r="B447" s="223">
        <v>441</v>
      </c>
      <c r="C447" s="224" t="s">
        <v>4590</v>
      </c>
      <c r="D447" s="225" t="s">
        <v>4591</v>
      </c>
    </row>
    <row r="448" spans="2:4" ht="15" x14ac:dyDescent="0.25">
      <c r="B448" s="226">
        <v>442</v>
      </c>
      <c r="C448" s="227" t="s">
        <v>4592</v>
      </c>
      <c r="D448" s="228" t="s">
        <v>4593</v>
      </c>
    </row>
    <row r="449" spans="2:4" ht="15" x14ac:dyDescent="0.25">
      <c r="B449" s="223">
        <v>443</v>
      </c>
      <c r="C449" s="224" t="s">
        <v>4594</v>
      </c>
      <c r="D449" s="225" t="s">
        <v>4595</v>
      </c>
    </row>
    <row r="450" spans="2:4" ht="15" x14ac:dyDescent="0.25">
      <c r="B450" s="226">
        <v>444</v>
      </c>
      <c r="C450" s="227" t="s">
        <v>4596</v>
      </c>
      <c r="D450" s="228" t="s">
        <v>4597</v>
      </c>
    </row>
    <row r="451" spans="2:4" ht="15" x14ac:dyDescent="0.25">
      <c r="B451" s="223">
        <v>445</v>
      </c>
      <c r="C451" s="224" t="s">
        <v>4598</v>
      </c>
      <c r="D451" s="225" t="s">
        <v>4599</v>
      </c>
    </row>
    <row r="452" spans="2:4" ht="15" x14ac:dyDescent="0.25">
      <c r="B452" s="226">
        <v>446</v>
      </c>
      <c r="C452" s="227" t="s">
        <v>4600</v>
      </c>
      <c r="D452" s="228" t="s">
        <v>4601</v>
      </c>
    </row>
    <row r="453" spans="2:4" ht="15" x14ac:dyDescent="0.25">
      <c r="B453" s="223">
        <v>447</v>
      </c>
      <c r="C453" s="224" t="s">
        <v>4602</v>
      </c>
      <c r="D453" s="225" t="s">
        <v>4603</v>
      </c>
    </row>
    <row r="454" spans="2:4" ht="15" x14ac:dyDescent="0.25">
      <c r="B454" s="226">
        <v>448</v>
      </c>
      <c r="C454" s="227" t="s">
        <v>4604</v>
      </c>
      <c r="D454" s="228" t="s">
        <v>4605</v>
      </c>
    </row>
    <row r="455" spans="2:4" ht="15" x14ac:dyDescent="0.25">
      <c r="B455" s="223">
        <v>449</v>
      </c>
      <c r="C455" s="224" t="s">
        <v>4606</v>
      </c>
      <c r="D455" s="225" t="s">
        <v>4607</v>
      </c>
    </row>
    <row r="456" spans="2:4" ht="15" x14ac:dyDescent="0.25">
      <c r="B456" s="226">
        <v>450</v>
      </c>
      <c r="C456" s="227" t="s">
        <v>195</v>
      </c>
      <c r="D456" s="228" t="s">
        <v>4608</v>
      </c>
    </row>
    <row r="457" spans="2:4" ht="15" x14ac:dyDescent="0.25">
      <c r="B457" s="223">
        <v>451</v>
      </c>
      <c r="C457" s="224" t="s">
        <v>4609</v>
      </c>
      <c r="D457" s="225" t="s">
        <v>4610</v>
      </c>
    </row>
    <row r="458" spans="2:4" ht="15" x14ac:dyDescent="0.25">
      <c r="B458" s="226">
        <v>452</v>
      </c>
      <c r="C458" s="227" t="s">
        <v>4611</v>
      </c>
      <c r="D458" s="228" t="s">
        <v>4612</v>
      </c>
    </row>
    <row r="459" spans="2:4" ht="15" x14ac:dyDescent="0.25">
      <c r="B459" s="223">
        <v>453</v>
      </c>
      <c r="C459" s="224" t="s">
        <v>209</v>
      </c>
      <c r="D459" s="225" t="s">
        <v>4613</v>
      </c>
    </row>
    <row r="460" spans="2:4" ht="15" x14ac:dyDescent="0.25">
      <c r="B460" s="226">
        <v>454</v>
      </c>
      <c r="C460" s="227" t="s">
        <v>4614</v>
      </c>
      <c r="D460" s="228" t="s">
        <v>4615</v>
      </c>
    </row>
    <row r="461" spans="2:4" ht="15" x14ac:dyDescent="0.25">
      <c r="B461" s="223">
        <v>455</v>
      </c>
      <c r="C461" s="224" t="s">
        <v>4616</v>
      </c>
      <c r="D461" s="225" t="s">
        <v>4617</v>
      </c>
    </row>
    <row r="462" spans="2:4" ht="15" x14ac:dyDescent="0.25">
      <c r="B462" s="226">
        <v>456</v>
      </c>
      <c r="C462" s="227" t="s">
        <v>4618</v>
      </c>
      <c r="D462" s="228" t="s">
        <v>4619</v>
      </c>
    </row>
    <row r="463" spans="2:4" ht="15" x14ac:dyDescent="0.25">
      <c r="B463" s="223">
        <v>457</v>
      </c>
      <c r="C463" s="224" t="s">
        <v>4620</v>
      </c>
      <c r="D463" s="225" t="s">
        <v>4621</v>
      </c>
    </row>
    <row r="464" spans="2:4" ht="15" x14ac:dyDescent="0.25">
      <c r="B464" s="226">
        <v>458</v>
      </c>
      <c r="C464" s="227" t="s">
        <v>4622</v>
      </c>
      <c r="D464" s="228" t="s">
        <v>4623</v>
      </c>
    </row>
    <row r="465" spans="2:4" ht="15" x14ac:dyDescent="0.25">
      <c r="B465" s="223">
        <v>459</v>
      </c>
      <c r="C465" s="224" t="s">
        <v>4624</v>
      </c>
      <c r="D465" s="225" t="s">
        <v>4625</v>
      </c>
    </row>
    <row r="466" spans="2:4" ht="15" x14ac:dyDescent="0.25">
      <c r="B466" s="226">
        <v>460</v>
      </c>
      <c r="C466" s="227" t="s">
        <v>4626</v>
      </c>
      <c r="D466" s="228" t="s">
        <v>4627</v>
      </c>
    </row>
    <row r="467" spans="2:4" ht="15" x14ac:dyDescent="0.25">
      <c r="B467" s="223">
        <v>461</v>
      </c>
      <c r="C467" s="224" t="s">
        <v>4628</v>
      </c>
      <c r="D467" s="225" t="s">
        <v>4629</v>
      </c>
    </row>
    <row r="468" spans="2:4" ht="15" x14ac:dyDescent="0.25">
      <c r="B468" s="226">
        <v>462</v>
      </c>
      <c r="C468" s="227" t="s">
        <v>4630</v>
      </c>
      <c r="D468" s="228" t="s">
        <v>4631</v>
      </c>
    </row>
    <row r="469" spans="2:4" ht="15" x14ac:dyDescent="0.25">
      <c r="B469" s="223">
        <v>463</v>
      </c>
      <c r="C469" s="224" t="s">
        <v>4632</v>
      </c>
      <c r="D469" s="225" t="s">
        <v>4633</v>
      </c>
    </row>
    <row r="470" spans="2:4" ht="15" x14ac:dyDescent="0.25">
      <c r="B470" s="226">
        <v>464</v>
      </c>
      <c r="C470" s="227" t="s">
        <v>4634</v>
      </c>
      <c r="D470" s="228" t="s">
        <v>4635</v>
      </c>
    </row>
    <row r="471" spans="2:4" ht="15" x14ac:dyDescent="0.25">
      <c r="B471" s="223">
        <v>465</v>
      </c>
      <c r="C471" s="224" t="s">
        <v>4636</v>
      </c>
      <c r="D471" s="225" t="s">
        <v>4637</v>
      </c>
    </row>
    <row r="472" spans="2:4" ht="15" x14ac:dyDescent="0.25">
      <c r="B472" s="226">
        <v>466</v>
      </c>
      <c r="C472" s="227" t="s">
        <v>4638</v>
      </c>
      <c r="D472" s="228" t="s">
        <v>4639</v>
      </c>
    </row>
    <row r="473" spans="2:4" ht="15" x14ac:dyDescent="0.25">
      <c r="B473" s="223">
        <v>467</v>
      </c>
      <c r="C473" s="224" t="s">
        <v>4640</v>
      </c>
      <c r="D473" s="225" t="s">
        <v>4641</v>
      </c>
    </row>
    <row r="474" spans="2:4" ht="15" x14ac:dyDescent="0.25">
      <c r="B474" s="226">
        <v>468</v>
      </c>
      <c r="C474" s="227" t="s">
        <v>4642</v>
      </c>
      <c r="D474" s="228" t="s">
        <v>4643</v>
      </c>
    </row>
    <row r="475" spans="2:4" ht="15" x14ac:dyDescent="0.25">
      <c r="B475" s="223">
        <v>469</v>
      </c>
      <c r="C475" s="224" t="s">
        <v>4644</v>
      </c>
      <c r="D475" s="225" t="s">
        <v>4645</v>
      </c>
    </row>
    <row r="476" spans="2:4" ht="15" x14ac:dyDescent="0.25">
      <c r="B476" s="226">
        <v>470</v>
      </c>
      <c r="C476" s="227" t="s">
        <v>4646</v>
      </c>
      <c r="D476" s="228" t="s">
        <v>4647</v>
      </c>
    </row>
    <row r="477" spans="2:4" ht="15" x14ac:dyDescent="0.25">
      <c r="B477" s="223">
        <v>471</v>
      </c>
      <c r="C477" s="224" t="s">
        <v>221</v>
      </c>
      <c r="D477" s="225" t="s">
        <v>4648</v>
      </c>
    </row>
    <row r="478" spans="2:4" ht="15" x14ac:dyDescent="0.25">
      <c r="B478" s="226">
        <v>472</v>
      </c>
      <c r="C478" s="227" t="s">
        <v>4649</v>
      </c>
      <c r="D478" s="228" t="s">
        <v>4650</v>
      </c>
    </row>
    <row r="479" spans="2:4" ht="15" x14ac:dyDescent="0.25">
      <c r="B479" s="223">
        <v>473</v>
      </c>
      <c r="C479" s="224" t="s">
        <v>4651</v>
      </c>
      <c r="D479" s="225" t="s">
        <v>4652</v>
      </c>
    </row>
    <row r="480" spans="2:4" ht="15" x14ac:dyDescent="0.25">
      <c r="B480" s="226">
        <v>474</v>
      </c>
      <c r="C480" s="227" t="s">
        <v>4653</v>
      </c>
      <c r="D480" s="228" t="s">
        <v>4654</v>
      </c>
    </row>
    <row r="481" spans="2:4" ht="15" x14ac:dyDescent="0.25">
      <c r="B481" s="223">
        <v>475</v>
      </c>
      <c r="C481" s="224" t="s">
        <v>4655</v>
      </c>
      <c r="D481" s="225" t="s">
        <v>4656</v>
      </c>
    </row>
    <row r="482" spans="2:4" ht="15" x14ac:dyDescent="0.25">
      <c r="B482" s="226">
        <v>476</v>
      </c>
      <c r="C482" s="227" t="s">
        <v>227</v>
      </c>
      <c r="D482" s="228" t="s">
        <v>4657</v>
      </c>
    </row>
    <row r="483" spans="2:4" ht="15" x14ac:dyDescent="0.25">
      <c r="B483" s="223">
        <v>477</v>
      </c>
      <c r="C483" s="224" t="s">
        <v>4658</v>
      </c>
      <c r="D483" s="225" t="s">
        <v>4659</v>
      </c>
    </row>
    <row r="484" spans="2:4" ht="15" x14ac:dyDescent="0.25">
      <c r="B484" s="226">
        <v>478</v>
      </c>
      <c r="C484" s="227" t="s">
        <v>4660</v>
      </c>
      <c r="D484" s="228" t="s">
        <v>4661</v>
      </c>
    </row>
    <row r="485" spans="2:4" ht="15" x14ac:dyDescent="0.25">
      <c r="B485" s="223">
        <v>479</v>
      </c>
      <c r="C485" s="224" t="s">
        <v>4662</v>
      </c>
      <c r="D485" s="225" t="s">
        <v>4663</v>
      </c>
    </row>
    <row r="486" spans="2:4" ht="15" x14ac:dyDescent="0.25">
      <c r="B486" s="226">
        <v>480</v>
      </c>
      <c r="C486" s="227" t="s">
        <v>4664</v>
      </c>
      <c r="D486" s="228" t="s">
        <v>4665</v>
      </c>
    </row>
    <row r="487" spans="2:4" ht="15" x14ac:dyDescent="0.25">
      <c r="B487" s="223">
        <v>481</v>
      </c>
      <c r="C487" s="224" t="s">
        <v>4666</v>
      </c>
      <c r="D487" s="225" t="s">
        <v>4667</v>
      </c>
    </row>
    <row r="488" spans="2:4" ht="15" x14ac:dyDescent="0.25">
      <c r="B488" s="226">
        <v>482</v>
      </c>
      <c r="C488" s="227" t="s">
        <v>235</v>
      </c>
      <c r="D488" s="228" t="s">
        <v>4668</v>
      </c>
    </row>
    <row r="489" spans="2:4" ht="15" x14ac:dyDescent="0.25">
      <c r="B489" s="223">
        <v>483</v>
      </c>
      <c r="C489" s="224" t="s">
        <v>4669</v>
      </c>
      <c r="D489" s="225" t="s">
        <v>4670</v>
      </c>
    </row>
    <row r="490" spans="2:4" ht="15" x14ac:dyDescent="0.25">
      <c r="B490" s="226">
        <v>484</v>
      </c>
      <c r="C490" s="227" t="s">
        <v>4671</v>
      </c>
      <c r="D490" s="228" t="s">
        <v>4672</v>
      </c>
    </row>
    <row r="491" spans="2:4" ht="15" x14ac:dyDescent="0.25">
      <c r="B491" s="223">
        <v>485</v>
      </c>
      <c r="C491" s="224" t="s">
        <v>4673</v>
      </c>
      <c r="D491" s="225" t="s">
        <v>4674</v>
      </c>
    </row>
    <row r="492" spans="2:4" ht="15" x14ac:dyDescent="0.25">
      <c r="B492" s="226">
        <v>486</v>
      </c>
      <c r="C492" s="227" t="s">
        <v>4675</v>
      </c>
      <c r="D492" s="228" t="s">
        <v>4676</v>
      </c>
    </row>
    <row r="493" spans="2:4" ht="15" x14ac:dyDescent="0.25">
      <c r="B493" s="223">
        <v>487</v>
      </c>
      <c r="C493" s="224" t="s">
        <v>4677</v>
      </c>
      <c r="D493" s="225" t="s">
        <v>4678</v>
      </c>
    </row>
    <row r="494" spans="2:4" ht="15" x14ac:dyDescent="0.25">
      <c r="B494" s="226">
        <v>488</v>
      </c>
      <c r="C494" s="227" t="s">
        <v>4679</v>
      </c>
      <c r="D494" s="228" t="s">
        <v>4680</v>
      </c>
    </row>
    <row r="495" spans="2:4" ht="15" x14ac:dyDescent="0.25">
      <c r="B495" s="223">
        <v>489</v>
      </c>
      <c r="C495" s="224" t="s">
        <v>4681</v>
      </c>
      <c r="D495" s="225" t="s">
        <v>4682</v>
      </c>
    </row>
    <row r="496" spans="2:4" ht="15" x14ac:dyDescent="0.25">
      <c r="B496" s="226">
        <v>490</v>
      </c>
      <c r="C496" s="227" t="s">
        <v>4683</v>
      </c>
      <c r="D496" s="228" t="s">
        <v>4684</v>
      </c>
    </row>
    <row r="497" spans="2:4" ht="15" x14ac:dyDescent="0.25">
      <c r="B497" s="223">
        <v>491</v>
      </c>
      <c r="C497" s="224" t="s">
        <v>4685</v>
      </c>
      <c r="D497" s="225" t="s">
        <v>4686</v>
      </c>
    </row>
    <row r="498" spans="2:4" ht="15" x14ac:dyDescent="0.25">
      <c r="B498" s="226">
        <v>492</v>
      </c>
      <c r="C498" s="227" t="s">
        <v>4687</v>
      </c>
      <c r="D498" s="228" t="s">
        <v>4688</v>
      </c>
    </row>
    <row r="499" spans="2:4" ht="15" x14ac:dyDescent="0.25">
      <c r="B499" s="223">
        <v>493</v>
      </c>
      <c r="C499" s="224" t="s">
        <v>4689</v>
      </c>
      <c r="D499" s="225" t="s">
        <v>4690</v>
      </c>
    </row>
    <row r="500" spans="2:4" ht="15" x14ac:dyDescent="0.25">
      <c r="B500" s="226">
        <v>494</v>
      </c>
      <c r="C500" s="227" t="s">
        <v>4691</v>
      </c>
      <c r="D500" s="228" t="s">
        <v>4692</v>
      </c>
    </row>
    <row r="501" spans="2:4" ht="15" x14ac:dyDescent="0.25">
      <c r="B501" s="223">
        <v>495</v>
      </c>
      <c r="C501" s="224" t="s">
        <v>4693</v>
      </c>
      <c r="D501" s="225" t="s">
        <v>4694</v>
      </c>
    </row>
    <row r="502" spans="2:4" ht="15" x14ac:dyDescent="0.25">
      <c r="B502" s="226">
        <v>496</v>
      </c>
      <c r="C502" s="227" t="s">
        <v>4695</v>
      </c>
      <c r="D502" s="228" t="s">
        <v>4696</v>
      </c>
    </row>
    <row r="503" spans="2:4" ht="15" x14ac:dyDescent="0.25">
      <c r="B503" s="223">
        <v>497</v>
      </c>
      <c r="C503" s="224" t="s">
        <v>4697</v>
      </c>
      <c r="D503" s="225" t="s">
        <v>4698</v>
      </c>
    </row>
    <row r="504" spans="2:4" ht="15" x14ac:dyDescent="0.25">
      <c r="B504" s="226">
        <v>498</v>
      </c>
      <c r="C504" s="227" t="s">
        <v>4699</v>
      </c>
      <c r="D504" s="228" t="s">
        <v>4700</v>
      </c>
    </row>
    <row r="505" spans="2:4" ht="15" x14ac:dyDescent="0.25">
      <c r="B505" s="223">
        <v>499</v>
      </c>
      <c r="C505" s="224" t="s">
        <v>4701</v>
      </c>
      <c r="D505" s="225" t="s">
        <v>4702</v>
      </c>
    </row>
    <row r="506" spans="2:4" ht="15" x14ac:dyDescent="0.25">
      <c r="B506" s="226">
        <v>500</v>
      </c>
      <c r="C506" s="227" t="s">
        <v>4703</v>
      </c>
      <c r="D506" s="228" t="s">
        <v>4704</v>
      </c>
    </row>
    <row r="507" spans="2:4" ht="15" x14ac:dyDescent="0.25">
      <c r="B507" s="223">
        <v>501</v>
      </c>
      <c r="C507" s="224" t="s">
        <v>4705</v>
      </c>
      <c r="D507" s="225" t="s">
        <v>4706</v>
      </c>
    </row>
    <row r="508" spans="2:4" ht="15" x14ac:dyDescent="0.25">
      <c r="B508" s="226">
        <v>502</v>
      </c>
      <c r="C508" s="227" t="s">
        <v>4707</v>
      </c>
      <c r="D508" s="228" t="s">
        <v>4708</v>
      </c>
    </row>
    <row r="509" spans="2:4" ht="15" x14ac:dyDescent="0.25">
      <c r="B509" s="223">
        <v>503</v>
      </c>
      <c r="C509" s="224" t="s">
        <v>4709</v>
      </c>
      <c r="D509" s="225" t="s">
        <v>4710</v>
      </c>
    </row>
    <row r="510" spans="2:4" ht="15" x14ac:dyDescent="0.25">
      <c r="B510" s="226">
        <v>504</v>
      </c>
      <c r="C510" s="227" t="s">
        <v>4711</v>
      </c>
      <c r="D510" s="228" t="s">
        <v>4712</v>
      </c>
    </row>
    <row r="511" spans="2:4" ht="15" x14ac:dyDescent="0.25">
      <c r="B511" s="223">
        <v>505</v>
      </c>
      <c r="C511" s="224" t="s">
        <v>4713</v>
      </c>
      <c r="D511" s="225" t="s">
        <v>4714</v>
      </c>
    </row>
    <row r="512" spans="2:4" ht="15" x14ac:dyDescent="0.25">
      <c r="B512" s="226">
        <v>506</v>
      </c>
      <c r="C512" s="227" t="s">
        <v>4715</v>
      </c>
      <c r="D512" s="228" t="s">
        <v>4716</v>
      </c>
    </row>
    <row r="513" spans="2:4" ht="15" x14ac:dyDescent="0.25">
      <c r="B513" s="223">
        <v>507</v>
      </c>
      <c r="C513" s="224" t="s">
        <v>4717</v>
      </c>
      <c r="D513" s="225" t="s">
        <v>4718</v>
      </c>
    </row>
    <row r="514" spans="2:4" ht="15" x14ac:dyDescent="0.25">
      <c r="B514" s="226">
        <v>508</v>
      </c>
      <c r="C514" s="227" t="s">
        <v>4719</v>
      </c>
      <c r="D514" s="228" t="s">
        <v>4720</v>
      </c>
    </row>
    <row r="515" spans="2:4" ht="15" x14ac:dyDescent="0.25">
      <c r="B515" s="223">
        <v>509</v>
      </c>
      <c r="C515" s="224" t="s">
        <v>4721</v>
      </c>
      <c r="D515" s="225" t="s">
        <v>4722</v>
      </c>
    </row>
    <row r="516" spans="2:4" ht="15" x14ac:dyDescent="0.25">
      <c r="B516" s="226">
        <v>510</v>
      </c>
      <c r="C516" s="227" t="s">
        <v>4723</v>
      </c>
      <c r="D516" s="228" t="s">
        <v>4724</v>
      </c>
    </row>
    <row r="517" spans="2:4" ht="15" x14ac:dyDescent="0.25">
      <c r="B517" s="223">
        <v>511</v>
      </c>
      <c r="C517" s="224" t="s">
        <v>285</v>
      </c>
      <c r="D517" s="225" t="s">
        <v>4725</v>
      </c>
    </row>
    <row r="518" spans="2:4" ht="15" x14ac:dyDescent="0.25">
      <c r="B518" s="226">
        <v>512</v>
      </c>
      <c r="C518" s="227" t="s">
        <v>4726</v>
      </c>
      <c r="D518" s="228" t="s">
        <v>4727</v>
      </c>
    </row>
    <row r="519" spans="2:4" ht="15" x14ac:dyDescent="0.25">
      <c r="B519" s="223">
        <v>513</v>
      </c>
      <c r="C519" s="224" t="s">
        <v>4728</v>
      </c>
      <c r="D519" s="225" t="s">
        <v>4729</v>
      </c>
    </row>
    <row r="520" spans="2:4" ht="15" x14ac:dyDescent="0.25">
      <c r="B520" s="226">
        <v>514</v>
      </c>
      <c r="C520" s="227" t="s">
        <v>4730</v>
      </c>
      <c r="D520" s="228" t="s">
        <v>4731</v>
      </c>
    </row>
    <row r="521" spans="2:4" ht="15" x14ac:dyDescent="0.25">
      <c r="B521" s="223">
        <v>515</v>
      </c>
      <c r="C521" s="224" t="s">
        <v>4732</v>
      </c>
      <c r="D521" s="225" t="s">
        <v>4733</v>
      </c>
    </row>
    <row r="522" spans="2:4" ht="15" x14ac:dyDescent="0.25">
      <c r="B522" s="226">
        <v>516</v>
      </c>
      <c r="C522" s="227" t="s">
        <v>4734</v>
      </c>
      <c r="D522" s="228" t="s">
        <v>4735</v>
      </c>
    </row>
    <row r="523" spans="2:4" ht="15" x14ac:dyDescent="0.25">
      <c r="B523" s="223">
        <v>517</v>
      </c>
      <c r="C523" s="224" t="s">
        <v>4736</v>
      </c>
      <c r="D523" s="225" t="s">
        <v>4737</v>
      </c>
    </row>
    <row r="524" spans="2:4" ht="15" x14ac:dyDescent="0.25">
      <c r="B524" s="226">
        <v>518</v>
      </c>
      <c r="C524" s="227" t="s">
        <v>4738</v>
      </c>
      <c r="D524" s="228" t="s">
        <v>4739</v>
      </c>
    </row>
    <row r="525" spans="2:4" ht="15" x14ac:dyDescent="0.25">
      <c r="B525" s="223">
        <v>519</v>
      </c>
      <c r="C525" s="224" t="s">
        <v>4740</v>
      </c>
      <c r="D525" s="225" t="s">
        <v>4741</v>
      </c>
    </row>
    <row r="526" spans="2:4" ht="15" x14ac:dyDescent="0.25">
      <c r="B526" s="226">
        <v>520</v>
      </c>
      <c r="C526" s="227" t="s">
        <v>4742</v>
      </c>
      <c r="D526" s="228" t="s">
        <v>4743</v>
      </c>
    </row>
    <row r="527" spans="2:4" ht="15" x14ac:dyDescent="0.25">
      <c r="B527" s="223">
        <v>521</v>
      </c>
      <c r="C527" s="224" t="s">
        <v>4744</v>
      </c>
      <c r="D527" s="225" t="s">
        <v>4745</v>
      </c>
    </row>
    <row r="528" spans="2:4" ht="15" x14ac:dyDescent="0.25">
      <c r="B528" s="226">
        <v>522</v>
      </c>
      <c r="C528" s="227" t="s">
        <v>4746</v>
      </c>
      <c r="D528" s="228" t="s">
        <v>4747</v>
      </c>
    </row>
    <row r="529" spans="2:4" ht="15" x14ac:dyDescent="0.25">
      <c r="B529" s="223">
        <v>523</v>
      </c>
      <c r="C529" s="224" t="s">
        <v>4748</v>
      </c>
      <c r="D529" s="225" t="s">
        <v>4749</v>
      </c>
    </row>
    <row r="530" spans="2:4" ht="15" x14ac:dyDescent="0.25">
      <c r="B530" s="226">
        <v>524</v>
      </c>
      <c r="C530" s="227" t="s">
        <v>4750</v>
      </c>
      <c r="D530" s="228" t="s">
        <v>4751</v>
      </c>
    </row>
    <row r="531" spans="2:4" ht="15" x14ac:dyDescent="0.25">
      <c r="B531" s="223">
        <v>525</v>
      </c>
      <c r="C531" s="224" t="s">
        <v>4752</v>
      </c>
      <c r="D531" s="225" t="s">
        <v>4753</v>
      </c>
    </row>
    <row r="532" spans="2:4" ht="15" x14ac:dyDescent="0.25">
      <c r="B532" s="226">
        <v>526</v>
      </c>
      <c r="C532" s="227" t="s">
        <v>4754</v>
      </c>
      <c r="D532" s="228" t="s">
        <v>4755</v>
      </c>
    </row>
    <row r="533" spans="2:4" ht="15" x14ac:dyDescent="0.25">
      <c r="B533" s="223">
        <v>527</v>
      </c>
      <c r="C533" s="224" t="s">
        <v>4756</v>
      </c>
      <c r="D533" s="225" t="s">
        <v>4757</v>
      </c>
    </row>
    <row r="534" spans="2:4" ht="15" x14ac:dyDescent="0.25">
      <c r="B534" s="226">
        <v>528</v>
      </c>
      <c r="C534" s="227" t="s">
        <v>4758</v>
      </c>
      <c r="D534" s="228" t="s">
        <v>4759</v>
      </c>
    </row>
    <row r="535" spans="2:4" ht="15" x14ac:dyDescent="0.25">
      <c r="B535" s="223">
        <v>529</v>
      </c>
      <c r="C535" s="224" t="s">
        <v>4760</v>
      </c>
      <c r="D535" s="225" t="s">
        <v>4761</v>
      </c>
    </row>
    <row r="536" spans="2:4" ht="15" x14ac:dyDescent="0.25">
      <c r="B536" s="226">
        <v>530</v>
      </c>
      <c r="C536" s="227" t="s">
        <v>4762</v>
      </c>
      <c r="D536" s="228" t="s">
        <v>4763</v>
      </c>
    </row>
    <row r="537" spans="2:4" ht="15" x14ac:dyDescent="0.25">
      <c r="B537" s="223">
        <v>531</v>
      </c>
      <c r="C537" s="224" t="s">
        <v>4764</v>
      </c>
      <c r="D537" s="225" t="s">
        <v>4765</v>
      </c>
    </row>
    <row r="538" spans="2:4" ht="15" x14ac:dyDescent="0.25">
      <c r="B538" s="226">
        <v>532</v>
      </c>
      <c r="C538" s="227" t="s">
        <v>4766</v>
      </c>
      <c r="D538" s="228" t="s">
        <v>4767</v>
      </c>
    </row>
    <row r="539" spans="2:4" ht="15" x14ac:dyDescent="0.25">
      <c r="B539" s="223">
        <v>533</v>
      </c>
      <c r="C539" s="224" t="s">
        <v>4768</v>
      </c>
      <c r="D539" s="225" t="s">
        <v>4769</v>
      </c>
    </row>
    <row r="540" spans="2:4" ht="15" x14ac:dyDescent="0.25">
      <c r="B540" s="226">
        <v>534</v>
      </c>
      <c r="C540" s="227" t="s">
        <v>4770</v>
      </c>
      <c r="D540" s="228" t="s">
        <v>4771</v>
      </c>
    </row>
    <row r="541" spans="2:4" ht="15" x14ac:dyDescent="0.25">
      <c r="B541" s="223">
        <v>535</v>
      </c>
      <c r="C541" s="224" t="s">
        <v>307</v>
      </c>
      <c r="D541" s="225" t="s">
        <v>4772</v>
      </c>
    </row>
    <row r="542" spans="2:4" ht="15" x14ac:dyDescent="0.25">
      <c r="B542" s="226">
        <v>536</v>
      </c>
      <c r="C542" s="227" t="s">
        <v>4773</v>
      </c>
      <c r="D542" s="228" t="s">
        <v>4774</v>
      </c>
    </row>
    <row r="543" spans="2:4" ht="15" x14ac:dyDescent="0.25">
      <c r="B543" s="223">
        <v>537</v>
      </c>
      <c r="C543" s="224" t="s">
        <v>313</v>
      </c>
      <c r="D543" s="225" t="s">
        <v>4775</v>
      </c>
    </row>
    <row r="544" spans="2:4" ht="15" x14ac:dyDescent="0.25">
      <c r="B544" s="226">
        <v>538</v>
      </c>
      <c r="C544" s="227" t="s">
        <v>4776</v>
      </c>
      <c r="D544" s="228" t="s">
        <v>4777</v>
      </c>
    </row>
    <row r="545" spans="2:4" ht="15" x14ac:dyDescent="0.25">
      <c r="B545" s="223">
        <v>539</v>
      </c>
      <c r="C545" s="224" t="s">
        <v>4778</v>
      </c>
      <c r="D545" s="225" t="s">
        <v>4779</v>
      </c>
    </row>
    <row r="546" spans="2:4" ht="15" x14ac:dyDescent="0.25">
      <c r="B546" s="226">
        <v>540</v>
      </c>
      <c r="C546" s="227" t="s">
        <v>4780</v>
      </c>
      <c r="D546" s="228" t="s">
        <v>4781</v>
      </c>
    </row>
    <row r="547" spans="2:4" ht="15" x14ac:dyDescent="0.25">
      <c r="B547" s="223">
        <v>541</v>
      </c>
      <c r="C547" s="224" t="s">
        <v>4782</v>
      </c>
      <c r="D547" s="225" t="s">
        <v>4783</v>
      </c>
    </row>
    <row r="548" spans="2:4" ht="15" x14ac:dyDescent="0.25">
      <c r="B548" s="226">
        <v>542</v>
      </c>
      <c r="C548" s="227" t="s">
        <v>4784</v>
      </c>
      <c r="D548" s="228" t="s">
        <v>4785</v>
      </c>
    </row>
    <row r="549" spans="2:4" ht="15" x14ac:dyDescent="0.25">
      <c r="B549" s="223">
        <v>543</v>
      </c>
      <c r="C549" s="224" t="s">
        <v>323</v>
      </c>
      <c r="D549" s="225" t="s">
        <v>324</v>
      </c>
    </row>
    <row r="550" spans="2:4" ht="15" x14ac:dyDescent="0.25">
      <c r="B550" s="226">
        <v>544</v>
      </c>
      <c r="C550" s="227" t="s">
        <v>329</v>
      </c>
      <c r="D550" s="228" t="s">
        <v>4786</v>
      </c>
    </row>
    <row r="551" spans="2:4" ht="15" x14ac:dyDescent="0.25">
      <c r="B551" s="223">
        <v>545</v>
      </c>
      <c r="C551" s="224" t="s">
        <v>4787</v>
      </c>
      <c r="D551" s="225" t="s">
        <v>4788</v>
      </c>
    </row>
    <row r="552" spans="2:4" ht="15" x14ac:dyDescent="0.25">
      <c r="B552" s="226">
        <v>546</v>
      </c>
      <c r="C552" s="227" t="s">
        <v>4789</v>
      </c>
      <c r="D552" s="228" t="s">
        <v>4790</v>
      </c>
    </row>
    <row r="553" spans="2:4" ht="15" x14ac:dyDescent="0.25">
      <c r="B553" s="223">
        <v>547</v>
      </c>
      <c r="C553" s="224" t="s">
        <v>4791</v>
      </c>
      <c r="D553" s="225" t="s">
        <v>4792</v>
      </c>
    </row>
    <row r="554" spans="2:4" ht="15" x14ac:dyDescent="0.25">
      <c r="B554" s="226">
        <v>548</v>
      </c>
      <c r="C554" s="227" t="s">
        <v>4793</v>
      </c>
      <c r="D554" s="228" t="s">
        <v>4794</v>
      </c>
    </row>
    <row r="555" spans="2:4" ht="15" x14ac:dyDescent="0.25">
      <c r="B555" s="223">
        <v>549</v>
      </c>
      <c r="C555" s="224" t="s">
        <v>4795</v>
      </c>
      <c r="D555" s="225" t="s">
        <v>4796</v>
      </c>
    </row>
    <row r="556" spans="2:4" ht="15" x14ac:dyDescent="0.25">
      <c r="B556" s="226">
        <v>550</v>
      </c>
      <c r="C556" s="227" t="s">
        <v>4797</v>
      </c>
      <c r="D556" s="228" t="s">
        <v>4798</v>
      </c>
    </row>
    <row r="557" spans="2:4" ht="15" x14ac:dyDescent="0.25">
      <c r="B557" s="223">
        <v>551</v>
      </c>
      <c r="C557" s="224" t="s">
        <v>4799</v>
      </c>
      <c r="D557" s="225" t="s">
        <v>4800</v>
      </c>
    </row>
    <row r="558" spans="2:4" ht="15" x14ac:dyDescent="0.25">
      <c r="B558" s="226">
        <v>552</v>
      </c>
      <c r="C558" s="227" t="s">
        <v>4801</v>
      </c>
      <c r="D558" s="228" t="s">
        <v>4802</v>
      </c>
    </row>
    <row r="559" spans="2:4" ht="15" x14ac:dyDescent="0.25">
      <c r="B559" s="223">
        <v>553</v>
      </c>
      <c r="C559" s="224" t="s">
        <v>4803</v>
      </c>
      <c r="D559" s="225" t="s">
        <v>4804</v>
      </c>
    </row>
    <row r="560" spans="2:4" ht="15" x14ac:dyDescent="0.25">
      <c r="B560" s="226">
        <v>554</v>
      </c>
      <c r="C560" s="227" t="s">
        <v>4805</v>
      </c>
      <c r="D560" s="228" t="s">
        <v>4806</v>
      </c>
    </row>
    <row r="561" spans="2:4" ht="15" x14ac:dyDescent="0.25">
      <c r="B561" s="223">
        <v>555</v>
      </c>
      <c r="C561" s="224" t="s">
        <v>4807</v>
      </c>
      <c r="D561" s="225" t="s">
        <v>4808</v>
      </c>
    </row>
    <row r="562" spans="2:4" ht="15" x14ac:dyDescent="0.25">
      <c r="B562" s="226">
        <v>556</v>
      </c>
      <c r="C562" s="227" t="s">
        <v>4809</v>
      </c>
      <c r="D562" s="228" t="s">
        <v>4810</v>
      </c>
    </row>
    <row r="563" spans="2:4" ht="15" x14ac:dyDescent="0.25">
      <c r="B563" s="223">
        <v>557</v>
      </c>
      <c r="C563" s="224" t="s">
        <v>4811</v>
      </c>
      <c r="D563" s="225" t="s">
        <v>4812</v>
      </c>
    </row>
    <row r="564" spans="2:4" ht="15" x14ac:dyDescent="0.25">
      <c r="B564" s="226">
        <v>558</v>
      </c>
      <c r="C564" s="227" t="s">
        <v>4813</v>
      </c>
      <c r="D564" s="228" t="s">
        <v>4814</v>
      </c>
    </row>
    <row r="565" spans="2:4" ht="15" x14ac:dyDescent="0.25">
      <c r="B565" s="223">
        <v>559</v>
      </c>
      <c r="C565" s="224" t="s">
        <v>4815</v>
      </c>
      <c r="D565" s="225" t="s">
        <v>4816</v>
      </c>
    </row>
    <row r="566" spans="2:4" ht="15" x14ac:dyDescent="0.25">
      <c r="B566" s="226">
        <v>560</v>
      </c>
      <c r="C566" s="227" t="s">
        <v>4817</v>
      </c>
      <c r="D566" s="228" t="s">
        <v>4818</v>
      </c>
    </row>
    <row r="567" spans="2:4" ht="15" x14ac:dyDescent="0.25">
      <c r="B567" s="223">
        <v>561</v>
      </c>
      <c r="C567" s="224" t="s">
        <v>4819</v>
      </c>
      <c r="D567" s="225" t="s">
        <v>4820</v>
      </c>
    </row>
    <row r="568" spans="2:4" ht="15" x14ac:dyDescent="0.25">
      <c r="B568" s="226">
        <v>562</v>
      </c>
      <c r="C568" s="227" t="s">
        <v>4821</v>
      </c>
      <c r="D568" s="228" t="s">
        <v>4822</v>
      </c>
    </row>
    <row r="569" spans="2:4" ht="15" x14ac:dyDescent="0.25">
      <c r="B569" s="223">
        <v>563</v>
      </c>
      <c r="C569" s="224" t="s">
        <v>4823</v>
      </c>
      <c r="D569" s="225" t="s">
        <v>4824</v>
      </c>
    </row>
    <row r="570" spans="2:4" ht="15" x14ac:dyDescent="0.25">
      <c r="B570" s="226">
        <v>564</v>
      </c>
      <c r="C570" s="227" t="s">
        <v>4825</v>
      </c>
      <c r="D570" s="228" t="s">
        <v>4826</v>
      </c>
    </row>
    <row r="571" spans="2:4" ht="15" x14ac:dyDescent="0.25">
      <c r="B571" s="223">
        <v>565</v>
      </c>
      <c r="C571" s="224" t="s">
        <v>4827</v>
      </c>
      <c r="D571" s="225" t="s">
        <v>4828</v>
      </c>
    </row>
    <row r="572" spans="2:4" ht="15" x14ac:dyDescent="0.25">
      <c r="B572" s="226">
        <v>566</v>
      </c>
      <c r="C572" s="227" t="s">
        <v>4829</v>
      </c>
      <c r="D572" s="228" t="s">
        <v>4830</v>
      </c>
    </row>
    <row r="573" spans="2:4" ht="15" x14ac:dyDescent="0.25">
      <c r="B573" s="223">
        <v>567</v>
      </c>
      <c r="C573" s="224" t="s">
        <v>4831</v>
      </c>
      <c r="D573" s="225" t="s">
        <v>4832</v>
      </c>
    </row>
    <row r="574" spans="2:4" ht="15" x14ac:dyDescent="0.25">
      <c r="B574" s="226">
        <v>568</v>
      </c>
      <c r="C574" s="227" t="s">
        <v>4833</v>
      </c>
      <c r="D574" s="228" t="s">
        <v>4834</v>
      </c>
    </row>
    <row r="575" spans="2:4" ht="15" x14ac:dyDescent="0.25">
      <c r="B575" s="223">
        <v>569</v>
      </c>
      <c r="C575" s="224" t="s">
        <v>4835</v>
      </c>
      <c r="D575" s="225" t="s">
        <v>4836</v>
      </c>
    </row>
    <row r="576" spans="2:4" ht="15" x14ac:dyDescent="0.25">
      <c r="B576" s="226">
        <v>570</v>
      </c>
      <c r="C576" s="227" t="s">
        <v>4837</v>
      </c>
      <c r="D576" s="228" t="s">
        <v>4838</v>
      </c>
    </row>
    <row r="577" spans="2:4" ht="15" x14ac:dyDescent="0.25">
      <c r="B577" s="223">
        <v>571</v>
      </c>
      <c r="C577" s="224" t="s">
        <v>4839</v>
      </c>
      <c r="D577" s="225" t="s">
        <v>4840</v>
      </c>
    </row>
    <row r="578" spans="2:4" ht="15" x14ac:dyDescent="0.25">
      <c r="B578" s="226">
        <v>572</v>
      </c>
      <c r="C578" s="227" t="s">
        <v>269</v>
      </c>
      <c r="D578" s="228" t="s">
        <v>4841</v>
      </c>
    </row>
    <row r="579" spans="2:4" ht="15" x14ac:dyDescent="0.25">
      <c r="B579" s="223">
        <v>573</v>
      </c>
      <c r="C579" s="224" t="s">
        <v>4842</v>
      </c>
      <c r="D579" s="225" t="s">
        <v>4843</v>
      </c>
    </row>
    <row r="580" spans="2:4" ht="15" x14ac:dyDescent="0.25">
      <c r="B580" s="226">
        <v>574</v>
      </c>
      <c r="C580" s="227" t="s">
        <v>4844</v>
      </c>
      <c r="D580" s="228" t="s">
        <v>4845</v>
      </c>
    </row>
    <row r="581" spans="2:4" ht="15" x14ac:dyDescent="0.25">
      <c r="B581" s="223">
        <v>575</v>
      </c>
      <c r="C581" s="224" t="s">
        <v>4846</v>
      </c>
      <c r="D581" s="225" t="s">
        <v>4847</v>
      </c>
    </row>
    <row r="582" spans="2:4" ht="15" x14ac:dyDescent="0.25">
      <c r="B582" s="226">
        <v>576</v>
      </c>
      <c r="C582" s="227" t="s">
        <v>4848</v>
      </c>
      <c r="D582" s="228" t="s">
        <v>4849</v>
      </c>
    </row>
    <row r="583" spans="2:4" ht="15" x14ac:dyDescent="0.25">
      <c r="B583" s="223">
        <v>577</v>
      </c>
      <c r="C583" s="224" t="s">
        <v>4850</v>
      </c>
      <c r="D583" s="225" t="s">
        <v>4851</v>
      </c>
    </row>
    <row r="584" spans="2:4" ht="15" x14ac:dyDescent="0.25">
      <c r="B584" s="226">
        <v>578</v>
      </c>
      <c r="C584" s="227" t="s">
        <v>4852</v>
      </c>
      <c r="D584" s="228" t="s">
        <v>4853</v>
      </c>
    </row>
    <row r="585" spans="2:4" ht="15" x14ac:dyDescent="0.25">
      <c r="B585" s="223">
        <v>579</v>
      </c>
      <c r="C585" s="224" t="s">
        <v>4854</v>
      </c>
      <c r="D585" s="225" t="s">
        <v>4855</v>
      </c>
    </row>
    <row r="586" spans="2:4" ht="15" x14ac:dyDescent="0.25">
      <c r="B586" s="226">
        <v>580</v>
      </c>
      <c r="C586" s="227" t="s">
        <v>4856</v>
      </c>
      <c r="D586" s="228" t="s">
        <v>4857</v>
      </c>
    </row>
    <row r="587" spans="2:4" ht="15" x14ac:dyDescent="0.25">
      <c r="B587" s="223">
        <v>581</v>
      </c>
      <c r="C587" s="224" t="s">
        <v>379</v>
      </c>
      <c r="D587" s="225" t="s">
        <v>4858</v>
      </c>
    </row>
    <row r="588" spans="2:4" ht="15" x14ac:dyDescent="0.25">
      <c r="B588" s="226">
        <v>582</v>
      </c>
      <c r="C588" s="227" t="s">
        <v>4859</v>
      </c>
      <c r="D588" s="228" t="s">
        <v>4860</v>
      </c>
    </row>
    <row r="589" spans="2:4" ht="15" x14ac:dyDescent="0.25">
      <c r="B589" s="223">
        <v>583</v>
      </c>
      <c r="C589" s="224" t="s">
        <v>4861</v>
      </c>
      <c r="D589" s="225" t="s">
        <v>4862</v>
      </c>
    </row>
    <row r="590" spans="2:4" ht="15" x14ac:dyDescent="0.25">
      <c r="B590" s="226">
        <v>584</v>
      </c>
      <c r="C590" s="227" t="s">
        <v>4863</v>
      </c>
      <c r="D590" s="228" t="s">
        <v>4864</v>
      </c>
    </row>
    <row r="591" spans="2:4" ht="15" x14ac:dyDescent="0.25">
      <c r="B591" s="223">
        <v>585</v>
      </c>
      <c r="C591" s="224" t="s">
        <v>4865</v>
      </c>
      <c r="D591" s="225" t="s">
        <v>4866</v>
      </c>
    </row>
    <row r="592" spans="2:4" ht="15" x14ac:dyDescent="0.25">
      <c r="B592" s="226">
        <v>586</v>
      </c>
      <c r="C592" s="227" t="s">
        <v>4867</v>
      </c>
      <c r="D592" s="228" t="s">
        <v>4868</v>
      </c>
    </row>
    <row r="593" spans="2:4" ht="15" x14ac:dyDescent="0.25">
      <c r="B593" s="223">
        <v>587</v>
      </c>
      <c r="C593" s="224" t="s">
        <v>4869</v>
      </c>
      <c r="D593" s="225" t="s">
        <v>4870</v>
      </c>
    </row>
    <row r="594" spans="2:4" ht="15" x14ac:dyDescent="0.25">
      <c r="B594" s="226">
        <v>588</v>
      </c>
      <c r="C594" s="227" t="s">
        <v>4871</v>
      </c>
      <c r="D594" s="228" t="s">
        <v>4872</v>
      </c>
    </row>
    <row r="595" spans="2:4" ht="15" x14ac:dyDescent="0.25">
      <c r="B595" s="223">
        <v>589</v>
      </c>
      <c r="C595" s="224" t="s">
        <v>4873</v>
      </c>
      <c r="D595" s="225" t="s">
        <v>4874</v>
      </c>
    </row>
    <row r="596" spans="2:4" ht="15" x14ac:dyDescent="0.25">
      <c r="B596" s="226">
        <v>590</v>
      </c>
      <c r="C596" s="227" t="s">
        <v>145</v>
      </c>
      <c r="D596" s="228" t="s">
        <v>4875</v>
      </c>
    </row>
    <row r="597" spans="2:4" ht="15" x14ac:dyDescent="0.25">
      <c r="B597" s="223">
        <v>591</v>
      </c>
      <c r="C597" s="224" t="s">
        <v>4876</v>
      </c>
      <c r="D597" s="225" t="s">
        <v>4877</v>
      </c>
    </row>
    <row r="598" spans="2:4" ht="15" x14ac:dyDescent="0.25">
      <c r="B598" s="226">
        <v>592</v>
      </c>
      <c r="C598" s="227" t="s">
        <v>4878</v>
      </c>
      <c r="D598" s="228" t="s">
        <v>4879</v>
      </c>
    </row>
    <row r="599" spans="2:4" ht="15" x14ac:dyDescent="0.25">
      <c r="B599" s="223">
        <v>593</v>
      </c>
      <c r="C599" s="224" t="s">
        <v>4880</v>
      </c>
      <c r="D599" s="225" t="s">
        <v>4881</v>
      </c>
    </row>
    <row r="600" spans="2:4" ht="15" x14ac:dyDescent="0.25">
      <c r="B600" s="226">
        <v>594</v>
      </c>
      <c r="C600" s="227" t="s">
        <v>4882</v>
      </c>
      <c r="D600" s="228" t="s">
        <v>4883</v>
      </c>
    </row>
    <row r="601" spans="2:4" ht="15" x14ac:dyDescent="0.25">
      <c r="B601" s="223">
        <v>595</v>
      </c>
      <c r="C601" s="224" t="s">
        <v>4884</v>
      </c>
      <c r="D601" s="225" t="s">
        <v>4885</v>
      </c>
    </row>
    <row r="602" spans="2:4" ht="15" x14ac:dyDescent="0.25">
      <c r="B602" s="226">
        <v>596</v>
      </c>
      <c r="C602" s="227" t="s">
        <v>4886</v>
      </c>
      <c r="D602" s="228" t="s">
        <v>4887</v>
      </c>
    </row>
    <row r="603" spans="2:4" ht="15" x14ac:dyDescent="0.25">
      <c r="B603" s="223">
        <v>597</v>
      </c>
      <c r="C603" s="224" t="s">
        <v>4888</v>
      </c>
      <c r="D603" s="225" t="s">
        <v>4889</v>
      </c>
    </row>
    <row r="604" spans="2:4" ht="15" x14ac:dyDescent="0.25">
      <c r="B604" s="226">
        <v>598</v>
      </c>
      <c r="C604" s="227" t="s">
        <v>4890</v>
      </c>
      <c r="D604" s="228" t="s">
        <v>4891</v>
      </c>
    </row>
    <row r="605" spans="2:4" ht="15" x14ac:dyDescent="0.25">
      <c r="B605" s="223">
        <v>599</v>
      </c>
      <c r="C605" s="224" t="s">
        <v>4892</v>
      </c>
      <c r="D605" s="225" t="s">
        <v>4893</v>
      </c>
    </row>
    <row r="606" spans="2:4" ht="15" x14ac:dyDescent="0.25">
      <c r="B606" s="226">
        <v>600</v>
      </c>
      <c r="C606" s="227" t="s">
        <v>4894</v>
      </c>
      <c r="D606" s="228" t="s">
        <v>4895</v>
      </c>
    </row>
    <row r="607" spans="2:4" ht="15" x14ac:dyDescent="0.25">
      <c r="B607" s="223">
        <v>601</v>
      </c>
      <c r="C607" s="224" t="s">
        <v>4896</v>
      </c>
      <c r="D607" s="225" t="s">
        <v>4897</v>
      </c>
    </row>
    <row r="608" spans="2:4" ht="15" x14ac:dyDescent="0.25">
      <c r="B608" s="226">
        <v>602</v>
      </c>
      <c r="C608" s="227" t="s">
        <v>4898</v>
      </c>
      <c r="D608" s="228" t="s">
        <v>4899</v>
      </c>
    </row>
    <row r="609" spans="2:4" ht="15" x14ac:dyDescent="0.25">
      <c r="B609" s="223">
        <v>603</v>
      </c>
      <c r="C609" s="224" t="s">
        <v>4900</v>
      </c>
      <c r="D609" s="225" t="s">
        <v>4901</v>
      </c>
    </row>
    <row r="610" spans="2:4" ht="15" x14ac:dyDescent="0.25">
      <c r="B610" s="226">
        <v>604</v>
      </c>
      <c r="C610" s="227" t="s">
        <v>4902</v>
      </c>
      <c r="D610" s="228" t="s">
        <v>4903</v>
      </c>
    </row>
    <row r="611" spans="2:4" ht="15" x14ac:dyDescent="0.25">
      <c r="B611" s="223">
        <v>605</v>
      </c>
      <c r="C611" s="224" t="s">
        <v>4904</v>
      </c>
      <c r="D611" s="225" t="s">
        <v>4905</v>
      </c>
    </row>
    <row r="612" spans="2:4" ht="15" x14ac:dyDescent="0.25">
      <c r="B612" s="226">
        <v>606</v>
      </c>
      <c r="C612" s="227" t="s">
        <v>4906</v>
      </c>
      <c r="D612" s="228" t="s">
        <v>4907</v>
      </c>
    </row>
    <row r="613" spans="2:4" ht="15" x14ac:dyDescent="0.25">
      <c r="B613" s="223">
        <v>607</v>
      </c>
      <c r="C613" s="224" t="s">
        <v>4908</v>
      </c>
      <c r="D613" s="225" t="s">
        <v>4909</v>
      </c>
    </row>
    <row r="614" spans="2:4" ht="15" x14ac:dyDescent="0.25">
      <c r="B614" s="226">
        <v>608</v>
      </c>
      <c r="C614" s="227" t="s">
        <v>4910</v>
      </c>
      <c r="D614" s="228" t="s">
        <v>4911</v>
      </c>
    </row>
    <row r="615" spans="2:4" ht="15" x14ac:dyDescent="0.25">
      <c r="B615" s="223">
        <v>609</v>
      </c>
      <c r="C615" s="224" t="s">
        <v>4912</v>
      </c>
      <c r="D615" s="225" t="s">
        <v>4913</v>
      </c>
    </row>
    <row r="616" spans="2:4" ht="15" x14ac:dyDescent="0.25">
      <c r="B616" s="226">
        <v>610</v>
      </c>
      <c r="C616" s="227" t="s">
        <v>4914</v>
      </c>
      <c r="D616" s="228" t="s">
        <v>4915</v>
      </c>
    </row>
    <row r="617" spans="2:4" ht="15" x14ac:dyDescent="0.25">
      <c r="B617" s="223">
        <v>611</v>
      </c>
      <c r="C617" s="224" t="s">
        <v>4916</v>
      </c>
      <c r="D617" s="225" t="s">
        <v>4917</v>
      </c>
    </row>
    <row r="618" spans="2:4" ht="15" x14ac:dyDescent="0.25">
      <c r="B618" s="226">
        <v>612</v>
      </c>
      <c r="C618" s="227" t="s">
        <v>4918</v>
      </c>
      <c r="D618" s="228" t="s">
        <v>4919</v>
      </c>
    </row>
    <row r="619" spans="2:4" ht="15" x14ac:dyDescent="0.25">
      <c r="B619" s="223">
        <v>613</v>
      </c>
      <c r="C619" s="224" t="s">
        <v>4920</v>
      </c>
      <c r="D619" s="225" t="s">
        <v>4921</v>
      </c>
    </row>
    <row r="620" spans="2:4" ht="15" x14ac:dyDescent="0.25">
      <c r="B620" s="226">
        <v>614</v>
      </c>
      <c r="C620" s="227" t="s">
        <v>4922</v>
      </c>
      <c r="D620" s="228" t="s">
        <v>4923</v>
      </c>
    </row>
    <row r="621" spans="2:4" ht="15" x14ac:dyDescent="0.25">
      <c r="B621" s="223">
        <v>615</v>
      </c>
      <c r="C621" s="224" t="s">
        <v>4924</v>
      </c>
      <c r="D621" s="225" t="s">
        <v>4925</v>
      </c>
    </row>
    <row r="622" spans="2:4" ht="15" x14ac:dyDescent="0.25">
      <c r="B622" s="226">
        <v>616</v>
      </c>
      <c r="C622" s="227" t="s">
        <v>4926</v>
      </c>
      <c r="D622" s="228" t="s">
        <v>4927</v>
      </c>
    </row>
    <row r="623" spans="2:4" ht="15" x14ac:dyDescent="0.25">
      <c r="B623" s="223">
        <v>617</v>
      </c>
      <c r="C623" s="224" t="s">
        <v>4928</v>
      </c>
      <c r="D623" s="225" t="s">
        <v>4929</v>
      </c>
    </row>
    <row r="624" spans="2:4" ht="15" x14ac:dyDescent="0.25">
      <c r="B624" s="226">
        <v>618</v>
      </c>
      <c r="C624" s="227" t="s">
        <v>4930</v>
      </c>
      <c r="D624" s="228" t="s">
        <v>4931</v>
      </c>
    </row>
    <row r="625" spans="2:4" ht="15" x14ac:dyDescent="0.25">
      <c r="B625" s="223">
        <v>619</v>
      </c>
      <c r="C625" s="224" t="s">
        <v>4932</v>
      </c>
      <c r="D625" s="225" t="s">
        <v>4931</v>
      </c>
    </row>
    <row r="626" spans="2:4" ht="15" x14ac:dyDescent="0.25">
      <c r="B626" s="226">
        <v>620</v>
      </c>
      <c r="C626" s="227" t="s">
        <v>4933</v>
      </c>
      <c r="D626" s="228" t="s">
        <v>4934</v>
      </c>
    </row>
    <row r="627" spans="2:4" ht="15" x14ac:dyDescent="0.25">
      <c r="B627" s="223">
        <v>621</v>
      </c>
      <c r="C627" s="224" t="s">
        <v>4935</v>
      </c>
      <c r="D627" s="225" t="s">
        <v>4936</v>
      </c>
    </row>
    <row r="628" spans="2:4" ht="15" x14ac:dyDescent="0.25">
      <c r="B628" s="226">
        <v>622</v>
      </c>
      <c r="C628" s="227" t="s">
        <v>4937</v>
      </c>
      <c r="D628" s="228" t="s">
        <v>4938</v>
      </c>
    </row>
    <row r="629" spans="2:4" ht="15" x14ac:dyDescent="0.25">
      <c r="B629" s="223">
        <v>623</v>
      </c>
      <c r="C629" s="224" t="s">
        <v>127</v>
      </c>
      <c r="D629" s="225" t="s">
        <v>4939</v>
      </c>
    </row>
    <row r="630" spans="2:4" ht="15" x14ac:dyDescent="0.25">
      <c r="B630" s="226">
        <v>624</v>
      </c>
      <c r="C630" s="227" t="s">
        <v>4940</v>
      </c>
      <c r="D630" s="228" t="s">
        <v>4941</v>
      </c>
    </row>
    <row r="631" spans="2:4" ht="15" x14ac:dyDescent="0.25">
      <c r="B631" s="223">
        <v>625</v>
      </c>
      <c r="C631" s="224" t="s">
        <v>4942</v>
      </c>
      <c r="D631" s="225" t="s">
        <v>4943</v>
      </c>
    </row>
    <row r="632" spans="2:4" ht="15" x14ac:dyDescent="0.25">
      <c r="B632" s="226">
        <v>626</v>
      </c>
      <c r="C632" s="227" t="s">
        <v>4944</v>
      </c>
      <c r="D632" s="228" t="s">
        <v>4945</v>
      </c>
    </row>
    <row r="633" spans="2:4" ht="15" x14ac:dyDescent="0.25">
      <c r="B633" s="223">
        <v>627</v>
      </c>
      <c r="C633" s="224" t="s">
        <v>141</v>
      </c>
      <c r="D633" s="225" t="s">
        <v>142</v>
      </c>
    </row>
    <row r="634" spans="2:4" ht="15" x14ac:dyDescent="0.25">
      <c r="B634" s="226">
        <v>628</v>
      </c>
      <c r="C634" s="227" t="s">
        <v>4946</v>
      </c>
      <c r="D634" s="228" t="s">
        <v>4947</v>
      </c>
    </row>
    <row r="635" spans="2:4" ht="15" x14ac:dyDescent="0.25">
      <c r="B635" s="223">
        <v>629</v>
      </c>
      <c r="C635" s="224" t="s">
        <v>4948</v>
      </c>
      <c r="D635" s="225" t="s">
        <v>4949</v>
      </c>
    </row>
    <row r="636" spans="2:4" ht="15" x14ac:dyDescent="0.25">
      <c r="B636" s="226">
        <v>630</v>
      </c>
      <c r="C636" s="227" t="s">
        <v>4950</v>
      </c>
      <c r="D636" s="228" t="s">
        <v>4951</v>
      </c>
    </row>
    <row r="637" spans="2:4" ht="15" x14ac:dyDescent="0.25">
      <c r="B637" s="223">
        <v>631</v>
      </c>
      <c r="C637" s="224" t="s">
        <v>4952</v>
      </c>
      <c r="D637" s="225" t="s">
        <v>4953</v>
      </c>
    </row>
    <row r="638" spans="2:4" ht="15" x14ac:dyDescent="0.25">
      <c r="B638" s="226">
        <v>632</v>
      </c>
      <c r="C638" s="227" t="s">
        <v>4954</v>
      </c>
      <c r="D638" s="228" t="s">
        <v>4955</v>
      </c>
    </row>
    <row r="639" spans="2:4" ht="15" x14ac:dyDescent="0.25">
      <c r="B639" s="223">
        <v>633</v>
      </c>
      <c r="C639" s="224" t="s">
        <v>4956</v>
      </c>
      <c r="D639" s="225" t="s">
        <v>4957</v>
      </c>
    </row>
    <row r="640" spans="2:4" ht="15" x14ac:dyDescent="0.25">
      <c r="B640" s="226">
        <v>634</v>
      </c>
      <c r="C640" s="227" t="s">
        <v>4958</v>
      </c>
      <c r="D640" s="228" t="s">
        <v>4959</v>
      </c>
    </row>
    <row r="641" spans="2:4" ht="15" x14ac:dyDescent="0.25">
      <c r="B641" s="223">
        <v>635</v>
      </c>
      <c r="C641" s="224" t="s">
        <v>4960</v>
      </c>
      <c r="D641" s="225" t="s">
        <v>4961</v>
      </c>
    </row>
    <row r="642" spans="2:4" ht="15" x14ac:dyDescent="0.25">
      <c r="B642" s="226">
        <v>636</v>
      </c>
      <c r="C642" s="227" t="s">
        <v>4962</v>
      </c>
      <c r="D642" s="228" t="s">
        <v>4963</v>
      </c>
    </row>
    <row r="643" spans="2:4" ht="15" x14ac:dyDescent="0.25">
      <c r="B643" s="223">
        <v>637</v>
      </c>
      <c r="C643" s="224" t="s">
        <v>4964</v>
      </c>
      <c r="D643" s="225" t="s">
        <v>4965</v>
      </c>
    </row>
    <row r="644" spans="2:4" ht="15" x14ac:dyDescent="0.25">
      <c r="B644" s="226">
        <v>638</v>
      </c>
      <c r="C644" s="227" t="s">
        <v>4966</v>
      </c>
      <c r="D644" s="228" t="s">
        <v>4967</v>
      </c>
    </row>
    <row r="645" spans="2:4" ht="15" x14ac:dyDescent="0.25">
      <c r="B645" s="223">
        <v>639</v>
      </c>
      <c r="C645" s="224" t="s">
        <v>4968</v>
      </c>
      <c r="D645" s="225" t="s">
        <v>4969</v>
      </c>
    </row>
    <row r="646" spans="2:4" ht="15" x14ac:dyDescent="0.25">
      <c r="B646" s="226">
        <v>640</v>
      </c>
      <c r="C646" s="227" t="s">
        <v>4970</v>
      </c>
      <c r="D646" s="228" t="s">
        <v>4971</v>
      </c>
    </row>
    <row r="647" spans="2:4" ht="15" x14ac:dyDescent="0.25">
      <c r="B647" s="223">
        <v>641</v>
      </c>
      <c r="C647" s="224" t="s">
        <v>4972</v>
      </c>
      <c r="D647" s="225" t="s">
        <v>4973</v>
      </c>
    </row>
    <row r="648" spans="2:4" ht="15" x14ac:dyDescent="0.25">
      <c r="B648" s="226">
        <v>642</v>
      </c>
      <c r="C648" s="227" t="s">
        <v>4974</v>
      </c>
      <c r="D648" s="228" t="s">
        <v>4975</v>
      </c>
    </row>
    <row r="649" spans="2:4" ht="15" x14ac:dyDescent="0.25">
      <c r="B649" s="223">
        <v>643</v>
      </c>
      <c r="C649" s="224" t="s">
        <v>4976</v>
      </c>
      <c r="D649" s="225" t="s">
        <v>4977</v>
      </c>
    </row>
    <row r="650" spans="2:4" ht="15" x14ac:dyDescent="0.25">
      <c r="B650" s="226">
        <v>644</v>
      </c>
      <c r="C650" s="227" t="s">
        <v>4978</v>
      </c>
      <c r="D650" s="228" t="s">
        <v>4979</v>
      </c>
    </row>
    <row r="651" spans="2:4" ht="15" x14ac:dyDescent="0.25">
      <c r="B651" s="223">
        <v>645</v>
      </c>
      <c r="C651" s="224" t="s">
        <v>4980</v>
      </c>
      <c r="D651" s="225" t="s">
        <v>4981</v>
      </c>
    </row>
    <row r="652" spans="2:4" ht="15" x14ac:dyDescent="0.25">
      <c r="B652" s="226">
        <v>646</v>
      </c>
      <c r="C652" s="227" t="s">
        <v>225</v>
      </c>
      <c r="D652" s="228" t="s">
        <v>4982</v>
      </c>
    </row>
    <row r="653" spans="2:4" ht="15" x14ac:dyDescent="0.25">
      <c r="B653" s="223">
        <v>647</v>
      </c>
      <c r="C653" s="224" t="s">
        <v>4983</v>
      </c>
      <c r="D653" s="225" t="s">
        <v>4984</v>
      </c>
    </row>
    <row r="654" spans="2:4" ht="15" x14ac:dyDescent="0.25">
      <c r="B654" s="226">
        <v>648</v>
      </c>
      <c r="C654" s="227" t="s">
        <v>4985</v>
      </c>
      <c r="D654" s="228" t="s">
        <v>4986</v>
      </c>
    </row>
    <row r="655" spans="2:4" ht="15" x14ac:dyDescent="0.25">
      <c r="B655" s="223">
        <v>649</v>
      </c>
      <c r="C655" s="224" t="s">
        <v>4987</v>
      </c>
      <c r="D655" s="225" t="s">
        <v>4988</v>
      </c>
    </row>
    <row r="656" spans="2:4" ht="15" x14ac:dyDescent="0.25">
      <c r="B656" s="226">
        <v>650</v>
      </c>
      <c r="C656" s="227" t="s">
        <v>4989</v>
      </c>
      <c r="D656" s="228" t="s">
        <v>4990</v>
      </c>
    </row>
    <row r="657" spans="2:4" ht="15" x14ac:dyDescent="0.25">
      <c r="B657" s="223">
        <v>651</v>
      </c>
      <c r="C657" s="224" t="s">
        <v>4991</v>
      </c>
      <c r="D657" s="225" t="s">
        <v>4992</v>
      </c>
    </row>
    <row r="658" spans="2:4" ht="15" x14ac:dyDescent="0.25">
      <c r="B658" s="226">
        <v>652</v>
      </c>
      <c r="C658" s="227" t="s">
        <v>245</v>
      </c>
      <c r="D658" s="228" t="s">
        <v>4993</v>
      </c>
    </row>
    <row r="659" spans="2:4" ht="15" x14ac:dyDescent="0.25">
      <c r="B659" s="223">
        <v>653</v>
      </c>
      <c r="C659" s="224" t="s">
        <v>4994</v>
      </c>
      <c r="D659" s="225" t="s">
        <v>4995</v>
      </c>
    </row>
    <row r="660" spans="2:4" ht="15" x14ac:dyDescent="0.25">
      <c r="B660" s="226">
        <v>654</v>
      </c>
      <c r="C660" s="227" t="s">
        <v>4996</v>
      </c>
      <c r="D660" s="228" t="s">
        <v>4997</v>
      </c>
    </row>
    <row r="661" spans="2:4" ht="15" x14ac:dyDescent="0.25">
      <c r="B661" s="223">
        <v>655</v>
      </c>
      <c r="C661" s="224" t="s">
        <v>4998</v>
      </c>
      <c r="D661" s="225" t="s">
        <v>4999</v>
      </c>
    </row>
    <row r="662" spans="2:4" ht="15" x14ac:dyDescent="0.25">
      <c r="B662" s="226">
        <v>656</v>
      </c>
      <c r="C662" s="227" t="s">
        <v>5000</v>
      </c>
      <c r="D662" s="228" t="s">
        <v>5001</v>
      </c>
    </row>
    <row r="663" spans="2:4" ht="15" x14ac:dyDescent="0.25">
      <c r="B663" s="223">
        <v>657</v>
      </c>
      <c r="C663" s="224" t="s">
        <v>5002</v>
      </c>
      <c r="D663" s="225" t="s">
        <v>5003</v>
      </c>
    </row>
    <row r="664" spans="2:4" ht="15" x14ac:dyDescent="0.25">
      <c r="B664" s="226">
        <v>658</v>
      </c>
      <c r="C664" s="227" t="s">
        <v>267</v>
      </c>
      <c r="D664" s="228" t="s">
        <v>5004</v>
      </c>
    </row>
    <row r="665" spans="2:4" ht="15" x14ac:dyDescent="0.25">
      <c r="B665" s="223">
        <v>659</v>
      </c>
      <c r="C665" s="224" t="s">
        <v>5005</v>
      </c>
      <c r="D665" s="225" t="s">
        <v>5006</v>
      </c>
    </row>
    <row r="666" spans="2:4" ht="15" x14ac:dyDescent="0.25">
      <c r="B666" s="226">
        <v>660</v>
      </c>
      <c r="C666" s="227" t="s">
        <v>5007</v>
      </c>
      <c r="D666" s="228" t="s">
        <v>5008</v>
      </c>
    </row>
    <row r="667" spans="2:4" ht="15" x14ac:dyDescent="0.25">
      <c r="B667" s="223">
        <v>661</v>
      </c>
      <c r="C667" s="224" t="s">
        <v>5009</v>
      </c>
      <c r="D667" s="225" t="s">
        <v>5010</v>
      </c>
    </row>
    <row r="668" spans="2:4" ht="15" x14ac:dyDescent="0.25">
      <c r="B668" s="226">
        <v>662</v>
      </c>
      <c r="C668" s="227" t="s">
        <v>289</v>
      </c>
      <c r="D668" s="228" t="s">
        <v>5011</v>
      </c>
    </row>
    <row r="669" spans="2:4" ht="15" x14ac:dyDescent="0.25">
      <c r="B669" s="223">
        <v>663</v>
      </c>
      <c r="C669" s="224" t="s">
        <v>5012</v>
      </c>
      <c r="D669" s="225" t="s">
        <v>5013</v>
      </c>
    </row>
    <row r="670" spans="2:4" ht="15" x14ac:dyDescent="0.25">
      <c r="B670" s="226">
        <v>664</v>
      </c>
      <c r="C670" s="227" t="s">
        <v>5014</v>
      </c>
      <c r="D670" s="228" t="s">
        <v>5015</v>
      </c>
    </row>
    <row r="671" spans="2:4" ht="15" x14ac:dyDescent="0.25">
      <c r="B671" s="223">
        <v>665</v>
      </c>
      <c r="C671" s="224" t="s">
        <v>5016</v>
      </c>
      <c r="D671" s="225" t="s">
        <v>5017</v>
      </c>
    </row>
    <row r="672" spans="2:4" ht="15" x14ac:dyDescent="0.25">
      <c r="B672" s="226">
        <v>666</v>
      </c>
      <c r="C672" s="227" t="s">
        <v>5018</v>
      </c>
      <c r="D672" s="228" t="s">
        <v>5019</v>
      </c>
    </row>
    <row r="673" spans="2:4" ht="15" x14ac:dyDescent="0.25">
      <c r="B673" s="223">
        <v>667</v>
      </c>
      <c r="C673" s="224" t="s">
        <v>5020</v>
      </c>
      <c r="D673" s="225" t="s">
        <v>5021</v>
      </c>
    </row>
    <row r="674" spans="2:4" ht="15" x14ac:dyDescent="0.25">
      <c r="B674" s="226">
        <v>668</v>
      </c>
      <c r="C674" s="227" t="s">
        <v>5022</v>
      </c>
      <c r="D674" s="228" t="s">
        <v>5023</v>
      </c>
    </row>
    <row r="675" spans="2:4" ht="15" x14ac:dyDescent="0.25">
      <c r="B675" s="223">
        <v>669</v>
      </c>
      <c r="C675" s="224" t="s">
        <v>5024</v>
      </c>
      <c r="D675" s="225" t="s">
        <v>5025</v>
      </c>
    </row>
    <row r="676" spans="2:4" ht="15" x14ac:dyDescent="0.25">
      <c r="B676" s="226">
        <v>670</v>
      </c>
      <c r="C676" s="227" t="s">
        <v>5026</v>
      </c>
      <c r="D676" s="228" t="s">
        <v>5027</v>
      </c>
    </row>
    <row r="677" spans="2:4" ht="15" x14ac:dyDescent="0.25">
      <c r="B677" s="223">
        <v>671</v>
      </c>
      <c r="C677" s="224" t="s">
        <v>5028</v>
      </c>
      <c r="D677" s="225" t="s">
        <v>5029</v>
      </c>
    </row>
    <row r="678" spans="2:4" ht="15" x14ac:dyDescent="0.25">
      <c r="B678" s="226">
        <v>672</v>
      </c>
      <c r="C678" s="227" t="s">
        <v>5030</v>
      </c>
      <c r="D678" s="228" t="s">
        <v>5031</v>
      </c>
    </row>
    <row r="679" spans="2:4" ht="15" x14ac:dyDescent="0.25">
      <c r="B679" s="223">
        <v>673</v>
      </c>
      <c r="C679" s="224" t="s">
        <v>5032</v>
      </c>
      <c r="D679" s="225" t="s">
        <v>5033</v>
      </c>
    </row>
    <row r="680" spans="2:4" ht="15" x14ac:dyDescent="0.25">
      <c r="B680" s="226">
        <v>674</v>
      </c>
      <c r="C680" s="227" t="s">
        <v>5034</v>
      </c>
      <c r="D680" s="228" t="s">
        <v>5035</v>
      </c>
    </row>
    <row r="681" spans="2:4" ht="15" x14ac:dyDescent="0.25">
      <c r="B681" s="223">
        <v>675</v>
      </c>
      <c r="C681" s="224" t="s">
        <v>5036</v>
      </c>
      <c r="D681" s="225" t="s">
        <v>5037</v>
      </c>
    </row>
    <row r="682" spans="2:4" ht="15" x14ac:dyDescent="0.25">
      <c r="B682" s="226">
        <v>676</v>
      </c>
      <c r="C682" s="227" t="s">
        <v>5038</v>
      </c>
      <c r="D682" s="228" t="s">
        <v>5039</v>
      </c>
    </row>
    <row r="683" spans="2:4" ht="15" x14ac:dyDescent="0.25">
      <c r="B683" s="223">
        <v>677</v>
      </c>
      <c r="C683" s="224" t="s">
        <v>5040</v>
      </c>
      <c r="D683" s="225" t="s">
        <v>5041</v>
      </c>
    </row>
    <row r="684" spans="2:4" ht="15" x14ac:dyDescent="0.25">
      <c r="B684" s="226">
        <v>678</v>
      </c>
      <c r="C684" s="227" t="s">
        <v>5042</v>
      </c>
      <c r="D684" s="228" t="s">
        <v>5043</v>
      </c>
    </row>
    <row r="685" spans="2:4" ht="15" x14ac:dyDescent="0.25">
      <c r="B685" s="223">
        <v>679</v>
      </c>
      <c r="C685" s="224" t="s">
        <v>5044</v>
      </c>
      <c r="D685" s="225" t="s">
        <v>5045</v>
      </c>
    </row>
    <row r="686" spans="2:4" ht="15" x14ac:dyDescent="0.25">
      <c r="B686" s="226">
        <v>680</v>
      </c>
      <c r="C686" s="227" t="s">
        <v>5046</v>
      </c>
      <c r="D686" s="228" t="s">
        <v>5047</v>
      </c>
    </row>
    <row r="687" spans="2:4" ht="15" x14ac:dyDescent="0.25">
      <c r="B687" s="223">
        <v>681</v>
      </c>
      <c r="C687" s="224" t="s">
        <v>5048</v>
      </c>
      <c r="D687" s="225" t="s">
        <v>5049</v>
      </c>
    </row>
    <row r="688" spans="2:4" ht="15" x14ac:dyDescent="0.25">
      <c r="B688" s="226">
        <v>682</v>
      </c>
      <c r="C688" s="227" t="s">
        <v>5050</v>
      </c>
      <c r="D688" s="228" t="s">
        <v>5051</v>
      </c>
    </row>
    <row r="689" spans="2:4" ht="15" x14ac:dyDescent="0.25">
      <c r="B689" s="223">
        <v>683</v>
      </c>
      <c r="C689" s="224" t="s">
        <v>5052</v>
      </c>
      <c r="D689" s="225" t="s">
        <v>5053</v>
      </c>
    </row>
    <row r="690" spans="2:4" ht="15" x14ac:dyDescent="0.25">
      <c r="B690" s="226">
        <v>684</v>
      </c>
      <c r="C690" s="227" t="s">
        <v>5054</v>
      </c>
      <c r="D690" s="228" t="s">
        <v>5055</v>
      </c>
    </row>
    <row r="691" spans="2:4" ht="15" x14ac:dyDescent="0.25">
      <c r="B691" s="223">
        <v>685</v>
      </c>
      <c r="C691" s="224" t="s">
        <v>5056</v>
      </c>
      <c r="D691" s="225" t="s">
        <v>5057</v>
      </c>
    </row>
    <row r="692" spans="2:4" ht="15" x14ac:dyDescent="0.25">
      <c r="B692" s="226">
        <v>686</v>
      </c>
      <c r="C692" s="227" t="s">
        <v>5058</v>
      </c>
      <c r="D692" s="228" t="s">
        <v>5059</v>
      </c>
    </row>
    <row r="693" spans="2:4" ht="15" x14ac:dyDescent="0.25">
      <c r="B693" s="223">
        <v>687</v>
      </c>
      <c r="C693" s="224" t="s">
        <v>5060</v>
      </c>
      <c r="D693" s="225" t="s">
        <v>5061</v>
      </c>
    </row>
    <row r="694" spans="2:4" ht="15" x14ac:dyDescent="0.25">
      <c r="B694" s="226">
        <v>688</v>
      </c>
      <c r="C694" s="227" t="s">
        <v>5062</v>
      </c>
      <c r="D694" s="228" t="s">
        <v>5063</v>
      </c>
    </row>
    <row r="695" spans="2:4" ht="15" x14ac:dyDescent="0.25">
      <c r="B695" s="223">
        <v>689</v>
      </c>
      <c r="C695" s="224" t="s">
        <v>5064</v>
      </c>
      <c r="D695" s="225" t="s">
        <v>5065</v>
      </c>
    </row>
    <row r="696" spans="2:4" ht="15" x14ac:dyDescent="0.25">
      <c r="B696" s="226">
        <v>690</v>
      </c>
      <c r="C696" s="227" t="s">
        <v>332</v>
      </c>
      <c r="D696" s="228" t="s">
        <v>5066</v>
      </c>
    </row>
    <row r="697" spans="2:4" ht="15" x14ac:dyDescent="0.25">
      <c r="B697" s="223">
        <v>691</v>
      </c>
      <c r="C697" s="224" t="s">
        <v>5067</v>
      </c>
      <c r="D697" s="225" t="s">
        <v>5068</v>
      </c>
    </row>
    <row r="698" spans="2:4" ht="15" x14ac:dyDescent="0.25">
      <c r="B698" s="226">
        <v>692</v>
      </c>
      <c r="C698" s="227" t="s">
        <v>5069</v>
      </c>
      <c r="D698" s="228" t="s">
        <v>5070</v>
      </c>
    </row>
    <row r="699" spans="2:4" ht="15" x14ac:dyDescent="0.25">
      <c r="B699" s="223">
        <v>693</v>
      </c>
      <c r="C699" s="224" t="s">
        <v>5071</v>
      </c>
      <c r="D699" s="225" t="s">
        <v>5072</v>
      </c>
    </row>
    <row r="700" spans="2:4" ht="15" x14ac:dyDescent="0.25">
      <c r="B700" s="226">
        <v>694</v>
      </c>
      <c r="C700" s="227" t="s">
        <v>5073</v>
      </c>
      <c r="D700" s="228" t="s">
        <v>5074</v>
      </c>
    </row>
    <row r="701" spans="2:4" ht="15" x14ac:dyDescent="0.25">
      <c r="B701" s="223">
        <v>695</v>
      </c>
      <c r="C701" s="224" t="s">
        <v>5075</v>
      </c>
      <c r="D701" s="225" t="s">
        <v>5076</v>
      </c>
    </row>
    <row r="702" spans="2:4" ht="15" x14ac:dyDescent="0.25">
      <c r="B702" s="226">
        <v>696</v>
      </c>
      <c r="C702" s="227" t="s">
        <v>5077</v>
      </c>
      <c r="D702" s="228" t="s">
        <v>5078</v>
      </c>
    </row>
    <row r="703" spans="2:4" ht="15" x14ac:dyDescent="0.25">
      <c r="B703" s="223">
        <v>697</v>
      </c>
      <c r="C703" s="224" t="s">
        <v>5079</v>
      </c>
      <c r="D703" s="225" t="s">
        <v>5080</v>
      </c>
    </row>
    <row r="704" spans="2:4" ht="15" x14ac:dyDescent="0.25">
      <c r="B704" s="226">
        <v>698</v>
      </c>
      <c r="C704" s="227" t="s">
        <v>5081</v>
      </c>
      <c r="D704" s="228" t="s">
        <v>5082</v>
      </c>
    </row>
    <row r="705" spans="2:4" ht="15" x14ac:dyDescent="0.25">
      <c r="B705" s="223">
        <v>699</v>
      </c>
      <c r="C705" s="224" t="s">
        <v>5083</v>
      </c>
      <c r="D705" s="225" t="s">
        <v>5084</v>
      </c>
    </row>
    <row r="706" spans="2:4" ht="15" x14ac:dyDescent="0.25">
      <c r="B706" s="226">
        <v>700</v>
      </c>
      <c r="C706" s="227" t="s">
        <v>5085</v>
      </c>
      <c r="D706" s="228" t="s">
        <v>5086</v>
      </c>
    </row>
    <row r="707" spans="2:4" ht="15" x14ac:dyDescent="0.25">
      <c r="B707" s="223">
        <v>701</v>
      </c>
      <c r="C707" s="224" t="s">
        <v>117</v>
      </c>
      <c r="D707" s="225" t="s">
        <v>5087</v>
      </c>
    </row>
    <row r="708" spans="2:4" ht="15" x14ac:dyDescent="0.25">
      <c r="B708" s="226">
        <v>702</v>
      </c>
      <c r="C708" s="227" t="s">
        <v>125</v>
      </c>
      <c r="D708" s="228" t="s">
        <v>5088</v>
      </c>
    </row>
    <row r="709" spans="2:4" ht="15" x14ac:dyDescent="0.25">
      <c r="B709" s="223">
        <v>703</v>
      </c>
      <c r="C709" s="224" t="s">
        <v>5089</v>
      </c>
      <c r="D709" s="225" t="s">
        <v>5090</v>
      </c>
    </row>
    <row r="710" spans="2:4" ht="15" x14ac:dyDescent="0.25">
      <c r="B710" s="226">
        <v>704</v>
      </c>
      <c r="C710" s="227" t="s">
        <v>5091</v>
      </c>
      <c r="D710" s="228" t="s">
        <v>5092</v>
      </c>
    </row>
    <row r="711" spans="2:4" ht="15" x14ac:dyDescent="0.25">
      <c r="B711" s="223">
        <v>705</v>
      </c>
      <c r="C711" s="224" t="s">
        <v>5093</v>
      </c>
      <c r="D711" s="225" t="s">
        <v>5094</v>
      </c>
    </row>
    <row r="712" spans="2:4" ht="15" x14ac:dyDescent="0.25">
      <c r="B712" s="226">
        <v>706</v>
      </c>
      <c r="C712" s="227" t="s">
        <v>5095</v>
      </c>
      <c r="D712" s="228" t="s">
        <v>5096</v>
      </c>
    </row>
    <row r="713" spans="2:4" ht="15" x14ac:dyDescent="0.25">
      <c r="B713" s="223">
        <v>707</v>
      </c>
      <c r="C713" s="224" t="s">
        <v>5097</v>
      </c>
      <c r="D713" s="225" t="s">
        <v>5098</v>
      </c>
    </row>
    <row r="714" spans="2:4" ht="15" x14ac:dyDescent="0.25">
      <c r="B714" s="226">
        <v>708</v>
      </c>
      <c r="C714" s="227" t="s">
        <v>5099</v>
      </c>
      <c r="D714" s="228" t="s">
        <v>5100</v>
      </c>
    </row>
    <row r="715" spans="2:4" ht="15" x14ac:dyDescent="0.25">
      <c r="B715" s="223">
        <v>709</v>
      </c>
      <c r="C715" s="224" t="s">
        <v>5101</v>
      </c>
      <c r="D715" s="225" t="s">
        <v>5102</v>
      </c>
    </row>
    <row r="716" spans="2:4" ht="15" x14ac:dyDescent="0.25">
      <c r="B716" s="226">
        <v>710</v>
      </c>
      <c r="C716" s="227" t="s">
        <v>5103</v>
      </c>
      <c r="D716" s="228" t="s">
        <v>5104</v>
      </c>
    </row>
    <row r="717" spans="2:4" ht="15" x14ac:dyDescent="0.25">
      <c r="B717" s="223">
        <v>711</v>
      </c>
      <c r="C717" s="224" t="s">
        <v>5105</v>
      </c>
      <c r="D717" s="225" t="s">
        <v>5106</v>
      </c>
    </row>
    <row r="718" spans="2:4" ht="15" x14ac:dyDescent="0.25">
      <c r="B718" s="226">
        <v>712</v>
      </c>
      <c r="C718" s="227" t="s">
        <v>5107</v>
      </c>
      <c r="D718" s="228" t="s">
        <v>5108</v>
      </c>
    </row>
    <row r="719" spans="2:4" ht="15" x14ac:dyDescent="0.25">
      <c r="B719" s="223">
        <v>713</v>
      </c>
      <c r="C719" s="224" t="s">
        <v>5109</v>
      </c>
      <c r="D719" s="225" t="s">
        <v>5110</v>
      </c>
    </row>
    <row r="720" spans="2:4" ht="15" x14ac:dyDescent="0.25">
      <c r="B720" s="226">
        <v>714</v>
      </c>
      <c r="C720" s="227" t="s">
        <v>5111</v>
      </c>
      <c r="D720" s="228" t="s">
        <v>5112</v>
      </c>
    </row>
    <row r="721" spans="2:4" ht="15" x14ac:dyDescent="0.25">
      <c r="B721" s="223">
        <v>715</v>
      </c>
      <c r="C721" s="224" t="s">
        <v>5113</v>
      </c>
      <c r="D721" s="225" t="s">
        <v>5114</v>
      </c>
    </row>
    <row r="722" spans="2:4" ht="15" x14ac:dyDescent="0.25">
      <c r="B722" s="226">
        <v>716</v>
      </c>
      <c r="C722" s="227" t="s">
        <v>309</v>
      </c>
      <c r="D722" s="228" t="s">
        <v>5115</v>
      </c>
    </row>
    <row r="723" spans="2:4" ht="15" x14ac:dyDescent="0.25">
      <c r="B723" s="223">
        <v>717</v>
      </c>
      <c r="C723" s="224" t="s">
        <v>5116</v>
      </c>
      <c r="D723" s="225" t="s">
        <v>5117</v>
      </c>
    </row>
    <row r="724" spans="2:4" ht="15" x14ac:dyDescent="0.25">
      <c r="B724" s="226">
        <v>718</v>
      </c>
      <c r="C724" s="227" t="s">
        <v>336</v>
      </c>
      <c r="D724" s="228" t="s">
        <v>5118</v>
      </c>
    </row>
    <row r="725" spans="2:4" ht="15" x14ac:dyDescent="0.25">
      <c r="B725" s="223">
        <v>719</v>
      </c>
      <c r="C725" s="224" t="s">
        <v>5119</v>
      </c>
      <c r="D725" s="225" t="s">
        <v>5120</v>
      </c>
    </row>
    <row r="726" spans="2:4" ht="15" x14ac:dyDescent="0.25">
      <c r="B726" s="226">
        <v>720</v>
      </c>
      <c r="C726" s="227" t="s">
        <v>5121</v>
      </c>
      <c r="D726" s="228" t="s">
        <v>5122</v>
      </c>
    </row>
    <row r="727" spans="2:4" ht="15" x14ac:dyDescent="0.25">
      <c r="B727" s="223">
        <v>721</v>
      </c>
      <c r="C727" s="224" t="s">
        <v>5123</v>
      </c>
      <c r="D727" s="225" t="s">
        <v>5124</v>
      </c>
    </row>
    <row r="728" spans="2:4" ht="15" x14ac:dyDescent="0.25">
      <c r="B728" s="226">
        <v>722</v>
      </c>
      <c r="C728" s="227" t="s">
        <v>5125</v>
      </c>
      <c r="D728" s="228" t="s">
        <v>5126</v>
      </c>
    </row>
    <row r="729" spans="2:4" ht="15" x14ac:dyDescent="0.25">
      <c r="B729" s="223">
        <v>723</v>
      </c>
      <c r="C729" s="224" t="s">
        <v>5127</v>
      </c>
      <c r="D729" s="225" t="s">
        <v>5128</v>
      </c>
    </row>
    <row r="730" spans="2:4" ht="15" x14ac:dyDescent="0.25">
      <c r="B730" s="226">
        <v>724</v>
      </c>
      <c r="C730" s="227" t="s">
        <v>5129</v>
      </c>
      <c r="D730" s="228" t="s">
        <v>5130</v>
      </c>
    </row>
    <row r="731" spans="2:4" ht="15" x14ac:dyDescent="0.25">
      <c r="B731" s="223">
        <v>725</v>
      </c>
      <c r="C731" s="224" t="s">
        <v>5131</v>
      </c>
      <c r="D731" s="225" t="s">
        <v>5132</v>
      </c>
    </row>
    <row r="732" spans="2:4" ht="15" x14ac:dyDescent="0.25">
      <c r="B732" s="226">
        <v>726</v>
      </c>
      <c r="C732" s="227" t="s">
        <v>5133</v>
      </c>
      <c r="D732" s="228" t="s">
        <v>5134</v>
      </c>
    </row>
    <row r="733" spans="2:4" ht="15" x14ac:dyDescent="0.25">
      <c r="B733" s="223">
        <v>727</v>
      </c>
      <c r="C733" s="224" t="s">
        <v>5135</v>
      </c>
      <c r="D733" s="225" t="s">
        <v>5136</v>
      </c>
    </row>
    <row r="734" spans="2:4" ht="15" x14ac:dyDescent="0.25">
      <c r="B734" s="226">
        <v>728</v>
      </c>
      <c r="C734" s="227" t="s">
        <v>5137</v>
      </c>
      <c r="D734" s="228" t="s">
        <v>5138</v>
      </c>
    </row>
    <row r="735" spans="2:4" ht="15" x14ac:dyDescent="0.25">
      <c r="B735" s="223">
        <v>729</v>
      </c>
      <c r="C735" s="224" t="s">
        <v>5139</v>
      </c>
      <c r="D735" s="225" t="s">
        <v>5140</v>
      </c>
    </row>
    <row r="736" spans="2:4" ht="15" x14ac:dyDescent="0.25">
      <c r="B736" s="226">
        <v>730</v>
      </c>
      <c r="C736" s="227" t="s">
        <v>167</v>
      </c>
      <c r="D736" s="228" t="s">
        <v>5141</v>
      </c>
    </row>
    <row r="737" spans="2:4" ht="15" x14ac:dyDescent="0.25">
      <c r="B737" s="223">
        <v>731</v>
      </c>
      <c r="C737" s="224" t="s">
        <v>5142</v>
      </c>
      <c r="D737" s="225" t="s">
        <v>5143</v>
      </c>
    </row>
    <row r="738" spans="2:4" ht="15" x14ac:dyDescent="0.25">
      <c r="B738" s="226">
        <v>732</v>
      </c>
      <c r="C738" s="227" t="s">
        <v>5144</v>
      </c>
      <c r="D738" s="228" t="s">
        <v>5145</v>
      </c>
    </row>
    <row r="739" spans="2:4" ht="15" x14ac:dyDescent="0.25">
      <c r="B739" s="223">
        <v>733</v>
      </c>
      <c r="C739" s="224" t="s">
        <v>5146</v>
      </c>
      <c r="D739" s="225" t="s">
        <v>5147</v>
      </c>
    </row>
    <row r="740" spans="2:4" ht="15" x14ac:dyDescent="0.25">
      <c r="B740" s="226">
        <v>734</v>
      </c>
      <c r="C740" s="227" t="s">
        <v>5148</v>
      </c>
      <c r="D740" s="228" t="s">
        <v>5149</v>
      </c>
    </row>
    <row r="741" spans="2:4" ht="15" x14ac:dyDescent="0.25">
      <c r="B741" s="223">
        <v>735</v>
      </c>
      <c r="C741" s="224" t="s">
        <v>5150</v>
      </c>
      <c r="D741" s="225" t="s">
        <v>5151</v>
      </c>
    </row>
    <row r="742" spans="2:4" ht="15" x14ac:dyDescent="0.25">
      <c r="B742" s="226">
        <v>736</v>
      </c>
      <c r="C742" s="227" t="s">
        <v>5152</v>
      </c>
      <c r="D742" s="228" t="s">
        <v>5153</v>
      </c>
    </row>
    <row r="743" spans="2:4" ht="15" x14ac:dyDescent="0.25">
      <c r="B743" s="223">
        <v>737</v>
      </c>
      <c r="C743" s="224" t="s">
        <v>5154</v>
      </c>
      <c r="D743" s="225" t="s">
        <v>5155</v>
      </c>
    </row>
    <row r="744" spans="2:4" ht="15" x14ac:dyDescent="0.25">
      <c r="B744" s="226">
        <v>738</v>
      </c>
      <c r="C744" s="227" t="s">
        <v>5156</v>
      </c>
      <c r="D744" s="228" t="s">
        <v>5157</v>
      </c>
    </row>
    <row r="745" spans="2:4" ht="15" x14ac:dyDescent="0.25">
      <c r="B745" s="223">
        <v>739</v>
      </c>
      <c r="C745" s="224" t="s">
        <v>5158</v>
      </c>
      <c r="D745" s="225" t="s">
        <v>5159</v>
      </c>
    </row>
    <row r="746" spans="2:4" ht="15" x14ac:dyDescent="0.25">
      <c r="B746" s="226">
        <v>740</v>
      </c>
      <c r="C746" s="227" t="s">
        <v>5160</v>
      </c>
      <c r="D746" s="228" t="s">
        <v>5161</v>
      </c>
    </row>
    <row r="747" spans="2:4" ht="15" x14ac:dyDescent="0.25">
      <c r="B747" s="223">
        <v>741</v>
      </c>
      <c r="C747" s="224" t="s">
        <v>5162</v>
      </c>
      <c r="D747" s="225" t="s">
        <v>5163</v>
      </c>
    </row>
    <row r="748" spans="2:4" ht="15" x14ac:dyDescent="0.25">
      <c r="B748" s="226">
        <v>742</v>
      </c>
      <c r="C748" s="227" t="s">
        <v>5164</v>
      </c>
      <c r="D748" s="228" t="s">
        <v>5165</v>
      </c>
    </row>
    <row r="749" spans="2:4" ht="15" x14ac:dyDescent="0.25">
      <c r="B749" s="223">
        <v>743</v>
      </c>
      <c r="C749" s="224" t="s">
        <v>5166</v>
      </c>
      <c r="D749" s="225" t="s">
        <v>5167</v>
      </c>
    </row>
    <row r="750" spans="2:4" ht="15" x14ac:dyDescent="0.25">
      <c r="B750" s="226">
        <v>744</v>
      </c>
      <c r="C750" s="227" t="s">
        <v>5168</v>
      </c>
      <c r="D750" s="228" t="s">
        <v>5169</v>
      </c>
    </row>
    <row r="751" spans="2:4" ht="15" x14ac:dyDescent="0.25">
      <c r="B751" s="223">
        <v>745</v>
      </c>
      <c r="C751" s="224" t="s">
        <v>5170</v>
      </c>
      <c r="D751" s="225" t="s">
        <v>5171</v>
      </c>
    </row>
    <row r="752" spans="2:4" ht="15" x14ac:dyDescent="0.25">
      <c r="B752" s="226">
        <v>746</v>
      </c>
      <c r="C752" s="227" t="s">
        <v>5172</v>
      </c>
      <c r="D752" s="228" t="s">
        <v>5173</v>
      </c>
    </row>
    <row r="753" spans="2:4" ht="15" x14ac:dyDescent="0.25">
      <c r="B753" s="223">
        <v>747</v>
      </c>
      <c r="C753" s="224" t="s">
        <v>5174</v>
      </c>
      <c r="D753" s="225" t="s">
        <v>5175</v>
      </c>
    </row>
    <row r="754" spans="2:4" ht="15" x14ac:dyDescent="0.25">
      <c r="B754" s="226">
        <v>748</v>
      </c>
      <c r="C754" s="227" t="s">
        <v>5176</v>
      </c>
      <c r="D754" s="228" t="s">
        <v>5177</v>
      </c>
    </row>
    <row r="755" spans="2:4" ht="15" x14ac:dyDescent="0.25">
      <c r="B755" s="223">
        <v>749</v>
      </c>
      <c r="C755" s="224" t="s">
        <v>5178</v>
      </c>
      <c r="D755" s="225" t="s">
        <v>5179</v>
      </c>
    </row>
    <row r="756" spans="2:4" ht="15" x14ac:dyDescent="0.25">
      <c r="B756" s="226">
        <v>750</v>
      </c>
      <c r="C756" s="227" t="s">
        <v>5180</v>
      </c>
      <c r="D756" s="228" t="s">
        <v>5181</v>
      </c>
    </row>
    <row r="757" spans="2:4" ht="15" x14ac:dyDescent="0.25">
      <c r="B757" s="223">
        <v>751</v>
      </c>
      <c r="C757" s="224" t="s">
        <v>5182</v>
      </c>
      <c r="D757" s="225" t="s">
        <v>5183</v>
      </c>
    </row>
    <row r="758" spans="2:4" ht="15" x14ac:dyDescent="0.25">
      <c r="B758" s="226">
        <v>752</v>
      </c>
      <c r="C758" s="227" t="s">
        <v>5184</v>
      </c>
      <c r="D758" s="228" t="s">
        <v>5185</v>
      </c>
    </row>
    <row r="759" spans="2:4" ht="15" x14ac:dyDescent="0.25">
      <c r="B759" s="223">
        <v>753</v>
      </c>
      <c r="C759" s="224" t="s">
        <v>5186</v>
      </c>
      <c r="D759" s="225" t="s">
        <v>5187</v>
      </c>
    </row>
    <row r="760" spans="2:4" ht="15" x14ac:dyDescent="0.25">
      <c r="B760" s="226">
        <v>754</v>
      </c>
      <c r="C760" s="227" t="s">
        <v>5188</v>
      </c>
      <c r="D760" s="228" t="s">
        <v>5189</v>
      </c>
    </row>
    <row r="761" spans="2:4" ht="15" x14ac:dyDescent="0.25">
      <c r="B761" s="223">
        <v>755</v>
      </c>
      <c r="C761" s="224" t="s">
        <v>5190</v>
      </c>
      <c r="D761" s="225" t="s">
        <v>5191</v>
      </c>
    </row>
    <row r="762" spans="2:4" ht="15" x14ac:dyDescent="0.25">
      <c r="B762" s="226">
        <v>756</v>
      </c>
      <c r="C762" s="227" t="s">
        <v>5192</v>
      </c>
      <c r="D762" s="228" t="s">
        <v>5193</v>
      </c>
    </row>
    <row r="763" spans="2:4" ht="15" x14ac:dyDescent="0.25">
      <c r="B763" s="223">
        <v>757</v>
      </c>
      <c r="C763" s="224" t="s">
        <v>5194</v>
      </c>
      <c r="D763" s="225" t="s">
        <v>5195</v>
      </c>
    </row>
    <row r="764" spans="2:4" ht="15" x14ac:dyDescent="0.25">
      <c r="B764" s="226">
        <v>758</v>
      </c>
      <c r="C764" s="227" t="s">
        <v>5196</v>
      </c>
      <c r="D764" s="228" t="s">
        <v>5197</v>
      </c>
    </row>
    <row r="765" spans="2:4" ht="15" x14ac:dyDescent="0.25">
      <c r="B765" s="223">
        <v>759</v>
      </c>
      <c r="C765" s="224" t="s">
        <v>5198</v>
      </c>
      <c r="D765" s="225" t="s">
        <v>5199</v>
      </c>
    </row>
    <row r="766" spans="2:4" ht="15" x14ac:dyDescent="0.25">
      <c r="B766" s="226">
        <v>760</v>
      </c>
      <c r="C766" s="227" t="s">
        <v>5200</v>
      </c>
      <c r="D766" s="228" t="s">
        <v>5201</v>
      </c>
    </row>
    <row r="767" spans="2:4" ht="15" x14ac:dyDescent="0.25">
      <c r="B767" s="223">
        <v>761</v>
      </c>
      <c r="C767" s="224" t="s">
        <v>5202</v>
      </c>
      <c r="D767" s="225" t="s">
        <v>5203</v>
      </c>
    </row>
    <row r="768" spans="2:4" ht="15" x14ac:dyDescent="0.25">
      <c r="B768" s="226">
        <v>762</v>
      </c>
      <c r="C768" s="227" t="s">
        <v>5204</v>
      </c>
      <c r="D768" s="228" t="s">
        <v>5205</v>
      </c>
    </row>
    <row r="769" spans="2:4" ht="15" x14ac:dyDescent="0.25">
      <c r="B769" s="223">
        <v>763</v>
      </c>
      <c r="C769" s="224" t="s">
        <v>5206</v>
      </c>
      <c r="D769" s="225" t="s">
        <v>5207</v>
      </c>
    </row>
    <row r="770" spans="2:4" ht="15" x14ac:dyDescent="0.25">
      <c r="B770" s="226">
        <v>764</v>
      </c>
      <c r="C770" s="227" t="s">
        <v>5208</v>
      </c>
      <c r="D770" s="228" t="s">
        <v>5209</v>
      </c>
    </row>
    <row r="771" spans="2:4" ht="15" x14ac:dyDescent="0.25">
      <c r="B771" s="223">
        <v>765</v>
      </c>
      <c r="C771" s="224" t="s">
        <v>5210</v>
      </c>
      <c r="D771" s="225" t="s">
        <v>5211</v>
      </c>
    </row>
    <row r="772" spans="2:4" ht="15" x14ac:dyDescent="0.25">
      <c r="B772" s="226">
        <v>766</v>
      </c>
      <c r="C772" s="227" t="s">
        <v>5212</v>
      </c>
      <c r="D772" s="228" t="s">
        <v>5213</v>
      </c>
    </row>
    <row r="773" spans="2:4" ht="15" x14ac:dyDescent="0.25">
      <c r="B773" s="223">
        <v>767</v>
      </c>
      <c r="C773" s="224" t="s">
        <v>5214</v>
      </c>
      <c r="D773" s="225" t="s">
        <v>5215</v>
      </c>
    </row>
    <row r="774" spans="2:4" ht="15" x14ac:dyDescent="0.25">
      <c r="B774" s="226">
        <v>768</v>
      </c>
      <c r="C774" s="227" t="s">
        <v>5216</v>
      </c>
      <c r="D774" s="228" t="s">
        <v>5217</v>
      </c>
    </row>
    <row r="775" spans="2:4" ht="15" x14ac:dyDescent="0.25">
      <c r="B775" s="223">
        <v>769</v>
      </c>
      <c r="C775" s="224" t="s">
        <v>5218</v>
      </c>
      <c r="D775" s="225" t="s">
        <v>5219</v>
      </c>
    </row>
    <row r="776" spans="2:4" ht="15" x14ac:dyDescent="0.25">
      <c r="B776" s="226">
        <v>770</v>
      </c>
      <c r="C776" s="227" t="s">
        <v>5220</v>
      </c>
      <c r="D776" s="228" t="s">
        <v>5221</v>
      </c>
    </row>
    <row r="777" spans="2:4" ht="15" x14ac:dyDescent="0.25">
      <c r="B777" s="223">
        <v>771</v>
      </c>
      <c r="C777" s="224" t="s">
        <v>5222</v>
      </c>
      <c r="D777" s="225" t="s">
        <v>5223</v>
      </c>
    </row>
    <row r="778" spans="2:4" ht="15" x14ac:dyDescent="0.25">
      <c r="B778" s="226">
        <v>772</v>
      </c>
      <c r="C778" s="227" t="s">
        <v>5224</v>
      </c>
      <c r="D778" s="228" t="s">
        <v>5225</v>
      </c>
    </row>
    <row r="779" spans="2:4" ht="15" x14ac:dyDescent="0.25">
      <c r="B779" s="223">
        <v>773</v>
      </c>
      <c r="C779" s="224" t="s">
        <v>5226</v>
      </c>
      <c r="D779" s="225" t="s">
        <v>5227</v>
      </c>
    </row>
    <row r="780" spans="2:4" ht="15" x14ac:dyDescent="0.25">
      <c r="B780" s="226">
        <v>774</v>
      </c>
      <c r="C780" s="227" t="s">
        <v>5228</v>
      </c>
      <c r="D780" s="228" t="s">
        <v>5229</v>
      </c>
    </row>
    <row r="781" spans="2:4" ht="15" x14ac:dyDescent="0.25">
      <c r="B781" s="223">
        <v>775</v>
      </c>
      <c r="C781" s="224" t="s">
        <v>5230</v>
      </c>
      <c r="D781" s="225" t="s">
        <v>5231</v>
      </c>
    </row>
    <row r="782" spans="2:4" ht="15" x14ac:dyDescent="0.25">
      <c r="B782" s="226">
        <v>776</v>
      </c>
      <c r="C782" s="227" t="s">
        <v>5232</v>
      </c>
      <c r="D782" s="228" t="s">
        <v>5233</v>
      </c>
    </row>
    <row r="783" spans="2:4" ht="15" x14ac:dyDescent="0.25">
      <c r="B783" s="223">
        <v>777</v>
      </c>
      <c r="C783" s="224" t="s">
        <v>5234</v>
      </c>
      <c r="D783" s="225" t="s">
        <v>5235</v>
      </c>
    </row>
    <row r="784" spans="2:4" ht="15" x14ac:dyDescent="0.25">
      <c r="B784" s="226">
        <v>778</v>
      </c>
      <c r="C784" s="227" t="s">
        <v>5236</v>
      </c>
      <c r="D784" s="228" t="s">
        <v>5237</v>
      </c>
    </row>
    <row r="785" spans="2:4" ht="15" x14ac:dyDescent="0.25">
      <c r="B785" s="223">
        <v>779</v>
      </c>
      <c r="C785" s="224" t="s">
        <v>5238</v>
      </c>
      <c r="D785" s="225" t="s">
        <v>5239</v>
      </c>
    </row>
    <row r="786" spans="2:4" ht="15" x14ac:dyDescent="0.25">
      <c r="B786" s="226">
        <v>780</v>
      </c>
      <c r="C786" s="227" t="s">
        <v>5240</v>
      </c>
      <c r="D786" s="228" t="s">
        <v>5241</v>
      </c>
    </row>
    <row r="787" spans="2:4" ht="15" x14ac:dyDescent="0.25">
      <c r="B787" s="223">
        <v>781</v>
      </c>
      <c r="C787" s="224" t="s">
        <v>5242</v>
      </c>
      <c r="D787" s="225" t="s">
        <v>5243</v>
      </c>
    </row>
    <row r="788" spans="2:4" ht="15" x14ac:dyDescent="0.25">
      <c r="B788" s="226">
        <v>782</v>
      </c>
      <c r="C788" s="227" t="s">
        <v>5244</v>
      </c>
      <c r="D788" s="228" t="s">
        <v>5245</v>
      </c>
    </row>
    <row r="789" spans="2:4" ht="15" x14ac:dyDescent="0.25">
      <c r="B789" s="223">
        <v>783</v>
      </c>
      <c r="C789" s="224" t="s">
        <v>5246</v>
      </c>
      <c r="D789" s="225" t="s">
        <v>5247</v>
      </c>
    </row>
    <row r="790" spans="2:4" ht="15" x14ac:dyDescent="0.25">
      <c r="B790" s="226">
        <v>784</v>
      </c>
      <c r="C790" s="227" t="s">
        <v>5248</v>
      </c>
      <c r="D790" s="228" t="s">
        <v>5249</v>
      </c>
    </row>
    <row r="791" spans="2:4" ht="15" x14ac:dyDescent="0.25">
      <c r="B791" s="223">
        <v>785</v>
      </c>
      <c r="C791" s="224" t="s">
        <v>5250</v>
      </c>
      <c r="D791" s="225" t="s">
        <v>5251</v>
      </c>
    </row>
    <row r="792" spans="2:4" ht="15" x14ac:dyDescent="0.25">
      <c r="B792" s="226">
        <v>786</v>
      </c>
      <c r="C792" s="227" t="s">
        <v>5252</v>
      </c>
      <c r="D792" s="228" t="s">
        <v>5253</v>
      </c>
    </row>
    <row r="793" spans="2:4" ht="15" x14ac:dyDescent="0.25">
      <c r="B793" s="223">
        <v>787</v>
      </c>
      <c r="C793" s="224" t="s">
        <v>5254</v>
      </c>
      <c r="D793" s="225" t="s">
        <v>5255</v>
      </c>
    </row>
    <row r="794" spans="2:4" ht="15" x14ac:dyDescent="0.25">
      <c r="B794" s="226">
        <v>788</v>
      </c>
      <c r="C794" s="227" t="s">
        <v>5256</v>
      </c>
      <c r="D794" s="228" t="s">
        <v>5257</v>
      </c>
    </row>
    <row r="795" spans="2:4" ht="15" x14ac:dyDescent="0.25">
      <c r="B795" s="223">
        <v>789</v>
      </c>
      <c r="C795" s="224" t="s">
        <v>171</v>
      </c>
      <c r="D795" s="225" t="s">
        <v>5258</v>
      </c>
    </row>
    <row r="796" spans="2:4" ht="15" x14ac:dyDescent="0.25">
      <c r="B796" s="226">
        <v>790</v>
      </c>
      <c r="C796" s="227" t="s">
        <v>5259</v>
      </c>
      <c r="D796" s="228" t="s">
        <v>5260</v>
      </c>
    </row>
    <row r="797" spans="2:4" ht="15" x14ac:dyDescent="0.25">
      <c r="B797" s="223">
        <v>791</v>
      </c>
      <c r="C797" s="224" t="s">
        <v>5261</v>
      </c>
      <c r="D797" s="225" t="s">
        <v>5262</v>
      </c>
    </row>
    <row r="798" spans="2:4" ht="15" x14ac:dyDescent="0.25">
      <c r="B798" s="226">
        <v>792</v>
      </c>
      <c r="C798" s="227" t="s">
        <v>5263</v>
      </c>
      <c r="D798" s="228" t="s">
        <v>5264</v>
      </c>
    </row>
    <row r="799" spans="2:4" ht="15" x14ac:dyDescent="0.25">
      <c r="B799" s="223">
        <v>793</v>
      </c>
      <c r="C799" s="224" t="s">
        <v>5265</v>
      </c>
      <c r="D799" s="225" t="s">
        <v>5266</v>
      </c>
    </row>
    <row r="800" spans="2:4" ht="15" x14ac:dyDescent="0.25">
      <c r="B800" s="226">
        <v>794</v>
      </c>
      <c r="C800" s="227" t="s">
        <v>5267</v>
      </c>
      <c r="D800" s="228" t="s">
        <v>5268</v>
      </c>
    </row>
    <row r="801" spans="2:4" ht="15" x14ac:dyDescent="0.25">
      <c r="B801" s="223">
        <v>795</v>
      </c>
      <c r="C801" s="224" t="s">
        <v>5269</v>
      </c>
      <c r="D801" s="225" t="s">
        <v>5270</v>
      </c>
    </row>
    <row r="802" spans="2:4" ht="15" x14ac:dyDescent="0.25">
      <c r="B802" s="226">
        <v>796</v>
      </c>
      <c r="C802" s="227" t="s">
        <v>5271</v>
      </c>
      <c r="D802" s="228" t="s">
        <v>5272</v>
      </c>
    </row>
    <row r="803" spans="2:4" ht="15" x14ac:dyDescent="0.25">
      <c r="B803" s="223">
        <v>797</v>
      </c>
      <c r="C803" s="224" t="s">
        <v>5273</v>
      </c>
      <c r="D803" s="225" t="s">
        <v>5274</v>
      </c>
    </row>
    <row r="804" spans="2:4" ht="15" x14ac:dyDescent="0.25">
      <c r="B804" s="226">
        <v>798</v>
      </c>
      <c r="C804" s="227" t="s">
        <v>201</v>
      </c>
      <c r="D804" s="228" t="s">
        <v>5275</v>
      </c>
    </row>
    <row r="805" spans="2:4" ht="15" x14ac:dyDescent="0.25">
      <c r="B805" s="223">
        <v>799</v>
      </c>
      <c r="C805" s="224" t="s">
        <v>229</v>
      </c>
      <c r="D805" s="225" t="s">
        <v>5276</v>
      </c>
    </row>
    <row r="806" spans="2:4" ht="15" x14ac:dyDescent="0.25">
      <c r="B806" s="226">
        <v>800</v>
      </c>
      <c r="C806" s="227" t="s">
        <v>5277</v>
      </c>
      <c r="D806" s="228" t="s">
        <v>5278</v>
      </c>
    </row>
    <row r="807" spans="2:4" ht="15" x14ac:dyDescent="0.25">
      <c r="B807" s="223">
        <v>801</v>
      </c>
      <c r="C807" s="224" t="s">
        <v>5279</v>
      </c>
      <c r="D807" s="225" t="s">
        <v>5280</v>
      </c>
    </row>
    <row r="808" spans="2:4" ht="15" x14ac:dyDescent="0.25">
      <c r="B808" s="226">
        <v>802</v>
      </c>
      <c r="C808" s="227" t="s">
        <v>5281</v>
      </c>
      <c r="D808" s="228" t="s">
        <v>5282</v>
      </c>
    </row>
    <row r="809" spans="2:4" ht="15" x14ac:dyDescent="0.25">
      <c r="B809" s="223">
        <v>803</v>
      </c>
      <c r="C809" s="224" t="s">
        <v>5283</v>
      </c>
      <c r="D809" s="225" t="s">
        <v>5284</v>
      </c>
    </row>
    <row r="810" spans="2:4" ht="15" x14ac:dyDescent="0.25">
      <c r="B810" s="226">
        <v>804</v>
      </c>
      <c r="C810" s="227" t="s">
        <v>5285</v>
      </c>
      <c r="D810" s="228" t="s">
        <v>5286</v>
      </c>
    </row>
    <row r="811" spans="2:4" ht="15" x14ac:dyDescent="0.25">
      <c r="B811" s="223">
        <v>805</v>
      </c>
      <c r="C811" s="224" t="s">
        <v>291</v>
      </c>
      <c r="D811" s="225" t="s">
        <v>5287</v>
      </c>
    </row>
    <row r="812" spans="2:4" ht="15" x14ac:dyDescent="0.25">
      <c r="B812" s="226">
        <v>806</v>
      </c>
      <c r="C812" s="227" t="s">
        <v>295</v>
      </c>
      <c r="D812" s="228" t="s">
        <v>5288</v>
      </c>
    </row>
    <row r="813" spans="2:4" ht="15" x14ac:dyDescent="0.25">
      <c r="B813" s="223">
        <v>807</v>
      </c>
      <c r="C813" s="224" t="s">
        <v>5289</v>
      </c>
      <c r="D813" s="225" t="s">
        <v>5290</v>
      </c>
    </row>
    <row r="814" spans="2:4" ht="15" x14ac:dyDescent="0.25">
      <c r="B814" s="226">
        <v>808</v>
      </c>
      <c r="C814" s="227" t="s">
        <v>5291</v>
      </c>
      <c r="D814" s="228" t="s">
        <v>5292</v>
      </c>
    </row>
    <row r="815" spans="2:4" ht="15" x14ac:dyDescent="0.25">
      <c r="B815" s="223">
        <v>809</v>
      </c>
      <c r="C815" s="224" t="s">
        <v>5293</v>
      </c>
      <c r="D815" s="225" t="s">
        <v>5294</v>
      </c>
    </row>
    <row r="816" spans="2:4" ht="15" x14ac:dyDescent="0.25">
      <c r="B816" s="226">
        <v>810</v>
      </c>
      <c r="C816" s="227" t="s">
        <v>5295</v>
      </c>
      <c r="D816" s="228" t="s">
        <v>5296</v>
      </c>
    </row>
    <row r="817" spans="2:4" ht="15" x14ac:dyDescent="0.25">
      <c r="B817" s="223">
        <v>811</v>
      </c>
      <c r="C817" s="224" t="s">
        <v>5297</v>
      </c>
      <c r="D817" s="225" t="s">
        <v>5298</v>
      </c>
    </row>
    <row r="818" spans="2:4" ht="15" x14ac:dyDescent="0.25">
      <c r="B818" s="226">
        <v>812</v>
      </c>
      <c r="C818" s="227" t="s">
        <v>5299</v>
      </c>
      <c r="D818" s="228" t="s">
        <v>5300</v>
      </c>
    </row>
    <row r="819" spans="2:4" ht="15" x14ac:dyDescent="0.25">
      <c r="B819" s="223">
        <v>813</v>
      </c>
      <c r="C819" s="224" t="s">
        <v>5301</v>
      </c>
      <c r="D819" s="225" t="s">
        <v>5302</v>
      </c>
    </row>
    <row r="820" spans="2:4" ht="15" x14ac:dyDescent="0.25">
      <c r="B820" s="226">
        <v>814</v>
      </c>
      <c r="C820" s="227" t="s">
        <v>5303</v>
      </c>
      <c r="D820" s="228" t="s">
        <v>5304</v>
      </c>
    </row>
    <row r="821" spans="2:4" ht="15" x14ac:dyDescent="0.25">
      <c r="B821" s="223">
        <v>815</v>
      </c>
      <c r="C821" s="224" t="s">
        <v>5305</v>
      </c>
      <c r="D821" s="225" t="s">
        <v>5306</v>
      </c>
    </row>
    <row r="822" spans="2:4" ht="15" x14ac:dyDescent="0.25">
      <c r="B822" s="226">
        <v>816</v>
      </c>
      <c r="C822" s="227" t="s">
        <v>5307</v>
      </c>
      <c r="D822" s="228" t="s">
        <v>5308</v>
      </c>
    </row>
    <row r="823" spans="2:4" ht="15" x14ac:dyDescent="0.25">
      <c r="B823" s="223">
        <v>817</v>
      </c>
      <c r="C823" s="224" t="s">
        <v>5309</v>
      </c>
      <c r="D823" s="225" t="s">
        <v>5310</v>
      </c>
    </row>
    <row r="824" spans="2:4" ht="15" x14ac:dyDescent="0.25">
      <c r="B824" s="226">
        <v>818</v>
      </c>
      <c r="C824" s="227" t="s">
        <v>5311</v>
      </c>
      <c r="D824" s="228" t="s">
        <v>5312</v>
      </c>
    </row>
    <row r="825" spans="2:4" ht="15" x14ac:dyDescent="0.25">
      <c r="B825" s="223">
        <v>819</v>
      </c>
      <c r="C825" s="224" t="s">
        <v>5313</v>
      </c>
      <c r="D825" s="225" t="s">
        <v>5314</v>
      </c>
    </row>
    <row r="826" spans="2:4" ht="15" x14ac:dyDescent="0.25">
      <c r="B826" s="226">
        <v>820</v>
      </c>
      <c r="C826" s="227" t="s">
        <v>5315</v>
      </c>
      <c r="D826" s="228" t="s">
        <v>5316</v>
      </c>
    </row>
    <row r="827" spans="2:4" ht="15" x14ac:dyDescent="0.25">
      <c r="B827" s="223">
        <v>821</v>
      </c>
      <c r="C827" s="224" t="s">
        <v>5317</v>
      </c>
      <c r="D827" s="225" t="s">
        <v>5318</v>
      </c>
    </row>
    <row r="828" spans="2:4" ht="15" x14ac:dyDescent="0.25">
      <c r="B828" s="226">
        <v>822</v>
      </c>
      <c r="C828" s="227" t="s">
        <v>243</v>
      </c>
      <c r="D828" s="228" t="s">
        <v>5319</v>
      </c>
    </row>
    <row r="829" spans="2:4" ht="15" x14ac:dyDescent="0.25">
      <c r="B829" s="223">
        <v>823</v>
      </c>
      <c r="C829" s="224" t="s">
        <v>5320</v>
      </c>
      <c r="D829" s="225" t="s">
        <v>5321</v>
      </c>
    </row>
    <row r="830" spans="2:4" ht="15" x14ac:dyDescent="0.25">
      <c r="B830" s="226">
        <v>824</v>
      </c>
      <c r="C830" s="227" t="s">
        <v>5322</v>
      </c>
      <c r="D830" s="228" t="s">
        <v>5323</v>
      </c>
    </row>
    <row r="831" spans="2:4" ht="15" x14ac:dyDescent="0.25">
      <c r="B831" s="223">
        <v>825</v>
      </c>
      <c r="C831" s="224" t="s">
        <v>5324</v>
      </c>
      <c r="D831" s="225" t="s">
        <v>5325</v>
      </c>
    </row>
    <row r="832" spans="2:4" ht="15" x14ac:dyDescent="0.25">
      <c r="B832" s="226">
        <v>826</v>
      </c>
      <c r="C832" s="227" t="s">
        <v>5326</v>
      </c>
      <c r="D832" s="228" t="s">
        <v>5327</v>
      </c>
    </row>
    <row r="833" spans="2:4" ht="15" x14ac:dyDescent="0.25">
      <c r="B833" s="223">
        <v>827</v>
      </c>
      <c r="C833" s="224" t="s">
        <v>5328</v>
      </c>
      <c r="D833" s="225" t="s">
        <v>5329</v>
      </c>
    </row>
    <row r="834" spans="2:4" ht="15" x14ac:dyDescent="0.25">
      <c r="B834" s="226">
        <v>828</v>
      </c>
      <c r="C834" s="227" t="s">
        <v>211</v>
      </c>
      <c r="D834" s="228" t="s">
        <v>5330</v>
      </c>
    </row>
    <row r="835" spans="2:4" ht="15" x14ac:dyDescent="0.25">
      <c r="B835" s="223">
        <v>829</v>
      </c>
      <c r="C835" s="224" t="s">
        <v>5331</v>
      </c>
      <c r="D835" s="225" t="s">
        <v>5332</v>
      </c>
    </row>
    <row r="836" spans="2:4" ht="15" x14ac:dyDescent="0.25">
      <c r="B836" s="226">
        <v>830</v>
      </c>
      <c r="C836" s="227" t="s">
        <v>5333</v>
      </c>
      <c r="D836" s="228" t="s">
        <v>5334</v>
      </c>
    </row>
    <row r="837" spans="2:4" ht="15" x14ac:dyDescent="0.25">
      <c r="B837" s="223">
        <v>831</v>
      </c>
      <c r="C837" s="224" t="s">
        <v>5335</v>
      </c>
      <c r="D837" s="225" t="s">
        <v>5336</v>
      </c>
    </row>
    <row r="838" spans="2:4" ht="15" x14ac:dyDescent="0.25">
      <c r="B838" s="226">
        <v>832</v>
      </c>
      <c r="C838" s="227" t="s">
        <v>5337</v>
      </c>
      <c r="D838" s="228" t="s">
        <v>5338</v>
      </c>
    </row>
    <row r="839" spans="2:4" ht="15" x14ac:dyDescent="0.25">
      <c r="B839" s="223">
        <v>833</v>
      </c>
      <c r="C839" s="224" t="s">
        <v>5339</v>
      </c>
      <c r="D839" s="225" t="s">
        <v>5340</v>
      </c>
    </row>
    <row r="840" spans="2:4" ht="15" x14ac:dyDescent="0.25">
      <c r="B840" s="226">
        <v>834</v>
      </c>
      <c r="C840" s="227" t="s">
        <v>5341</v>
      </c>
      <c r="D840" s="228" t="s">
        <v>5342</v>
      </c>
    </row>
    <row r="841" spans="2:4" ht="15" x14ac:dyDescent="0.25">
      <c r="B841" s="223">
        <v>835</v>
      </c>
      <c r="C841" s="224" t="s">
        <v>5343</v>
      </c>
      <c r="D841" s="225" t="s">
        <v>5344</v>
      </c>
    </row>
    <row r="842" spans="2:4" ht="15" x14ac:dyDescent="0.25">
      <c r="B842" s="226">
        <v>836</v>
      </c>
      <c r="C842" s="227" t="s">
        <v>5345</v>
      </c>
      <c r="D842" s="228" t="s">
        <v>5346</v>
      </c>
    </row>
    <row r="843" spans="2:4" ht="15" x14ac:dyDescent="0.25">
      <c r="B843" s="223">
        <v>837</v>
      </c>
      <c r="C843" s="224" t="s">
        <v>5347</v>
      </c>
      <c r="D843" s="225" t="s">
        <v>5348</v>
      </c>
    </row>
    <row r="844" spans="2:4" ht="15" x14ac:dyDescent="0.25">
      <c r="B844" s="226">
        <v>838</v>
      </c>
      <c r="C844" s="227" t="s">
        <v>5349</v>
      </c>
      <c r="D844" s="228" t="s">
        <v>5350</v>
      </c>
    </row>
    <row r="845" spans="2:4" ht="15" x14ac:dyDescent="0.25">
      <c r="B845" s="326">
        <v>839</v>
      </c>
      <c r="C845" s="327" t="s">
        <v>5351</v>
      </c>
      <c r="D845" s="328" t="s">
        <v>5352</v>
      </c>
    </row>
  </sheetData>
  <sheetProtection algorithmName="SHA-512" hashValue="P3RBc2vjroGsdry7876iG9Aid6tvoavfUxWr33JvC4LMpHVRG2QvMpQT+UUuVxsRjaivW7CgvuPHFyv45/6HMg==" saltValue="lnq+DluRGJyfwO8p4cezQw==" spinCount="100000" sheet="1" objects="1" scenarios="1"/>
  <mergeCells count="2">
    <mergeCell ref="B2:D2"/>
    <mergeCell ref="B4:D4"/>
  </mergeCells>
  <conditionalFormatting sqref="C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{C0962C84-90F8-4DCF-8164-19EBB4A034A8}</x14:id>
        </ext>
      </extLst>
    </cfRule>
  </conditionalFormatting>
  <conditionalFormatting sqref="C7:C8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{8397D506-EE98-49C8-B54C-395FF7F224B6}</x14:id>
        </ext>
      </extLst>
    </cfRule>
  </conditionalFormatting>
  <conditionalFormatting sqref="C9:C94 C97:C13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{D97FE6B6-A6A5-45F7-8F81-03B32C8634A9}</x14:id>
        </ext>
      </extLst>
    </cfRule>
  </conditionalFormatting>
  <conditionalFormatting sqref="C9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{9A57898B-89E5-4E61-A406-BA1471C4273A}</x14:id>
        </ext>
      </extLst>
    </cfRule>
  </conditionalFormatting>
  <conditionalFormatting sqref="C9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{9B8AB610-D8DE-4247-95C6-72A4D16E7E49}</x14:id>
        </ext>
      </extLst>
    </cfRule>
  </conditionalFormatting>
  <conditionalFormatting sqref="C135:C84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{3A934D3B-E109-4D99-842E-B417129E7B31}</x14:id>
        </ext>
      </extLst>
    </cfRule>
  </conditionalFormatting>
  <conditionalFormatting sqref="D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{0585F9B9-BB42-4F09-A836-371E7FB6C8FF}</x14:id>
        </ext>
      </extLst>
    </cfRule>
  </conditionalFormatting>
  <conditionalFormatting sqref="D7:D8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{A0F79461-6823-422E-97AB-D25406C41879}</x14:id>
        </ext>
      </extLst>
    </cfRule>
  </conditionalFormatting>
  <conditionalFormatting sqref="D9:D94 D97:D13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{FEBF35D6-ABED-4D86-A323-5C3EFF94CACA}</x14:id>
        </ext>
      </extLst>
    </cfRule>
  </conditionalFormatting>
  <conditionalFormatting sqref="D9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{57A627B6-75EB-4E53-90F4-1A25BE6FD5A4}</x14:id>
        </ext>
      </extLst>
    </cfRule>
  </conditionalFormatting>
  <conditionalFormatting sqref="D9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{FC845899-C9CF-4864-84B9-0884492E2142}</x14:id>
        </ext>
      </extLst>
    </cfRule>
  </conditionalFormatting>
  <conditionalFormatting sqref="D135:D84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{011513D4-DA2A-4E5D-81B3-421CD2E2274B}</x14:id>
        </ext>
      </extLst>
    </cfRule>
  </conditionalFormatting>
  <printOptions horizontalCentered="1"/>
  <pageMargins left="0" right="0" top="0.78740157480314965" bottom="0.78740157480314965" header="0.31496062992125984" footer="0.31496062992125984"/>
  <pageSetup paperSize="9" scale="90" orientation="portrait" r:id="rId1"/>
  <headerFooter>
    <oddHeader>&amp;L&amp;"Aptos"&amp;10&amp;K008000 Classificação: Pública&amp;1#_x000D_</oddHeader>
    <oddFooter>&amp;L&amp;8AT: 22.07-2020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962C84-90F8-4DCF-8164-19EBB4A034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  <x14:conditionalFormatting xmlns:xm="http://schemas.microsoft.com/office/excel/2006/main">
          <x14:cfRule type="dataBar" id="{8397D506-EE98-49C8-B54C-395FF7F224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C7:C8</xm:sqref>
        </x14:conditionalFormatting>
        <x14:conditionalFormatting xmlns:xm="http://schemas.microsoft.com/office/excel/2006/main">
          <x14:cfRule type="dataBar" id="{D97FE6B6-A6A5-45F7-8F81-03B32C863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C9:C94 C97:C134</xm:sqref>
        </x14:conditionalFormatting>
        <x14:conditionalFormatting xmlns:xm="http://schemas.microsoft.com/office/excel/2006/main">
          <x14:cfRule type="dataBar" id="{9A57898B-89E5-4E61-A406-BA1471C427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C95</xm:sqref>
        </x14:conditionalFormatting>
        <x14:conditionalFormatting xmlns:xm="http://schemas.microsoft.com/office/excel/2006/main">
          <x14:cfRule type="dataBar" id="{9B8AB610-D8DE-4247-95C6-72A4D16E7E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C96</xm:sqref>
        </x14:conditionalFormatting>
        <x14:conditionalFormatting xmlns:xm="http://schemas.microsoft.com/office/excel/2006/main">
          <x14:cfRule type="dataBar" id="{3A934D3B-E109-4D99-842E-B417129E7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C135:C845</xm:sqref>
        </x14:conditionalFormatting>
        <x14:conditionalFormatting xmlns:xm="http://schemas.microsoft.com/office/excel/2006/main">
          <x14:cfRule type="dataBar" id="{0585F9B9-BB42-4F09-A836-371E7FB6C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</xm:sqref>
        </x14:conditionalFormatting>
        <x14:conditionalFormatting xmlns:xm="http://schemas.microsoft.com/office/excel/2006/main">
          <x14:cfRule type="dataBar" id="{A0F79461-6823-422E-97AB-D25406C418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D7:D8</xm:sqref>
        </x14:conditionalFormatting>
        <x14:conditionalFormatting xmlns:xm="http://schemas.microsoft.com/office/excel/2006/main">
          <x14:cfRule type="dataBar" id="{FEBF35D6-ABED-4D86-A323-5C3EFF94CA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D9:D94 D97:D134</xm:sqref>
        </x14:conditionalFormatting>
        <x14:conditionalFormatting xmlns:xm="http://schemas.microsoft.com/office/excel/2006/main">
          <x14:cfRule type="dataBar" id="{57A627B6-75EB-4E53-90F4-1A25BE6FD5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D95</xm:sqref>
        </x14:conditionalFormatting>
        <x14:conditionalFormatting xmlns:xm="http://schemas.microsoft.com/office/excel/2006/main">
          <x14:cfRule type="dataBar" id="{FC845899-C9CF-4864-84B9-0884492E21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D96</xm:sqref>
        </x14:conditionalFormatting>
        <x14:conditionalFormatting xmlns:xm="http://schemas.microsoft.com/office/excel/2006/main">
          <x14:cfRule type="dataBar" id="{011513D4-DA2A-4E5D-81B3-421CD2E227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D135:D845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6f89a72f-c294-4007-9a72-a97777959ac3}" enabled="1" method="Privileged" siteId="{86d3ea76-fb24-461a-a021-8a80d348504f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7</vt:i4>
      </vt:variant>
    </vt:vector>
  </HeadingPairs>
  <TitlesOfParts>
    <vt:vector size="15" baseType="lpstr">
      <vt:lpstr>Tabela Fracionada</vt:lpstr>
      <vt:lpstr>Generalidades</vt:lpstr>
      <vt:lpstr>Não Agrupamento</vt:lpstr>
      <vt:lpstr>EMEX e TRT</vt:lpstr>
      <vt:lpstr>Capitais</vt:lpstr>
      <vt:lpstr>3ª Faixa BA, MG , SP e Atend PE</vt:lpstr>
      <vt:lpstr>TDA</vt:lpstr>
      <vt:lpstr>TAG</vt:lpstr>
      <vt:lpstr>Capitais!Area_de_impressao</vt:lpstr>
      <vt:lpstr>'EMEX e TRT'!Area_de_impressao</vt:lpstr>
      <vt:lpstr>Generalidades!Area_de_impressao</vt:lpstr>
      <vt:lpstr>'Não Agrupamento'!Area_de_impressao</vt:lpstr>
      <vt:lpstr>'Tabela Fracionada'!Area_de_impressao</vt:lpstr>
      <vt:lpstr>TAG!Area_de_impressao</vt:lpstr>
      <vt:lpstr>TDA!Area_de_impressao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Rejane Santos (CML SAO)</dc:creator>
  <cp:lastModifiedBy>MODIAL</cp:lastModifiedBy>
  <dcterms:created xsi:type="dcterms:W3CDTF">2026-09-14T20:37:27Z</dcterms:created>
  <dcterms:modified xsi:type="dcterms:W3CDTF">2026-09-18T13:06:17Z</dcterms:modified>
</cp:coreProperties>
</file>